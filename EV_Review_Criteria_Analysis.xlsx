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 Matrix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Smart Metrics" sheetId="3" state="visible" r:id="rId3"/>
    <sheet xmlns:r="http://schemas.openxmlformats.org/officeDocument/2006/relationships" name="DB Fields" sheetId="4" state="visible" r:id="rId4"/>
    <sheet xmlns:r="http://schemas.openxmlformats.org/officeDocument/2006/relationships" name="Priority Roadmap" sheetId="5" state="visible" r:id="rId5"/>
  </sheets>
  <definedNames>
    <definedName name="_xlnm._FilterDatabase" localSheetId="0" hidden="1">'Criteria Matrix'!$A$1:$H$78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4155"/>
      <sz val="10"/>
    </font>
    <font>
      <name val="Arial"/>
      <b val="1"/>
      <color rgb="001e3a5f"/>
      <sz val="14"/>
    </font>
    <font>
      <name val="Arial"/>
      <b val="1"/>
      <color rgb="00334155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1e3a5f"/>
      <sz val="12"/>
    </font>
    <font>
      <name val="Arial"/>
      <b val="1"/>
      <color rgb="0016a34a"/>
      <sz val="10"/>
    </font>
    <font>
      <name val="Consolas"/>
      <color rgb="00334155"/>
      <sz val="10"/>
    </font>
    <font>
      <name val="Arial"/>
      <b val="1"/>
      <color rgb="00dc2626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ff7ed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fecaca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7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2" fillId="5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42" customWidth="1" min="4" max="4"/>
    <col width="30" customWidth="1" min="5" max="5"/>
    <col width="16" customWidth="1" min="6" max="6"/>
    <col width="38" customWidth="1" min="7" max="7"/>
    <col width="38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Criterion</t>
        </is>
      </c>
      <c r="D1" s="1" t="inlineStr">
        <is>
          <t>Description</t>
        </is>
      </c>
      <c r="E1" s="1" t="inlineStr">
        <is>
          <t>Source(s)</t>
        </is>
      </c>
      <c r="F1" s="1" t="inlineStr">
        <is>
          <t>Coverage</t>
        </is>
      </c>
      <c r="G1" s="1" t="inlineStr">
        <is>
          <t>Our DB Field(s)</t>
        </is>
      </c>
      <c r="H1" s="1" t="inlineStr">
        <is>
          <t>Notes</t>
        </is>
      </c>
    </row>
    <row r="2">
      <c r="A2" s="2" t="n">
        <v>1</v>
      </c>
      <c r="B2" s="3" t="inlineStr">
        <is>
          <t>Range &amp; Efficiency</t>
        </is>
      </c>
      <c r="C2" s="3" t="inlineStr">
        <is>
          <t>WLTP Range</t>
        </is>
      </c>
      <c r="D2" s="3" t="inlineStr">
        <is>
          <t>Official WLTP combined range (km)</t>
        </is>
      </c>
      <c r="E2" s="3" t="inlineStr">
        <is>
          <t>WLTP standard, all OEMs</t>
        </is>
      </c>
      <c r="F2" s="4" t="inlineStr">
        <is>
          <t>✅ Covered</t>
        </is>
      </c>
      <c r="G2" s="3" t="inlineStr">
        <is>
          <t>wltp_range_km</t>
        </is>
      </c>
      <c r="H2" s="3" t="inlineStr"/>
    </row>
    <row r="3">
      <c r="A3" s="5" t="n">
        <v>2</v>
      </c>
      <c r="B3" s="6" t="inlineStr">
        <is>
          <t>Range &amp; Efficiency</t>
        </is>
      </c>
      <c r="C3" s="6" t="inlineStr">
        <is>
          <t>Real-World Range</t>
        </is>
      </c>
      <c r="D3" s="6" t="inlineStr">
        <is>
          <t>Adjusted range accounting for real driving conditions</t>
        </is>
      </c>
      <c r="E3" s="6" t="inlineStr">
        <is>
          <t>ADAC, AMS, Autobild, Edmunds</t>
        </is>
      </c>
      <c r="F3" s="4" t="inlineStr">
        <is>
          <t>✅ Covered</t>
        </is>
      </c>
      <c r="G3" s="6" t="inlineStr">
        <is>
          <t>real_range_km</t>
        </is>
      </c>
      <c r="H3" s="6" t="inlineStr"/>
    </row>
    <row r="4">
      <c r="A4" s="2" t="n">
        <v>3</v>
      </c>
      <c r="B4" s="3" t="inlineStr">
        <is>
          <t>Range &amp; Efficiency</t>
        </is>
      </c>
      <c r="C4" s="3" t="inlineStr">
        <is>
          <t>Winter Range (km)</t>
        </is>
      </c>
      <c r="D4" s="3" t="inlineStr">
        <is>
          <t>Range at ~0°C with cabin heating</t>
        </is>
      </c>
      <c r="E4" s="3" t="inlineStr">
        <is>
          <t>ADAC Ecotest, Norwegian El Prix</t>
        </is>
      </c>
      <c r="F4" s="4" t="inlineStr">
        <is>
          <t>✅ Covered</t>
        </is>
      </c>
      <c r="G4" s="3" t="inlineStr">
        <is>
          <t>winter_range_km</t>
        </is>
      </c>
      <c r="H4" s="3" t="inlineStr"/>
    </row>
    <row r="5">
      <c r="A5" s="5" t="n">
        <v>4</v>
      </c>
      <c r="B5" s="6" t="inlineStr">
        <is>
          <t>Range &amp; Efficiency</t>
        </is>
      </c>
      <c r="C5" s="6" t="inlineStr">
        <is>
          <t>Winter Range Retention (%)</t>
        </is>
      </c>
      <c r="D5" s="6" t="inlineStr">
        <is>
          <t>Percentage of WLTP range retained in winter</t>
        </is>
      </c>
      <c r="E5" s="6" t="inlineStr">
        <is>
          <t>ADAC, Björn Nyland</t>
        </is>
      </c>
      <c r="F5" s="4" t="inlineStr">
        <is>
          <t>✅ Covered</t>
        </is>
      </c>
      <c r="G5" s="6" t="inlineStr">
        <is>
          <t>winter_range_pct</t>
        </is>
      </c>
      <c r="H5" s="6" t="inlineStr">
        <is>
          <t>Derived: winter_range_km / wltp_range_km</t>
        </is>
      </c>
    </row>
    <row r="6">
      <c r="A6" s="2" t="n">
        <v>5</v>
      </c>
      <c r="B6" s="3" t="inlineStr">
        <is>
          <t>Range &amp; Efficiency</t>
        </is>
      </c>
      <c r="C6" s="3" t="inlineStr">
        <is>
          <t>Energy Consumption (Wh/km)</t>
        </is>
      </c>
      <c r="D6" s="3" t="inlineStr">
        <is>
          <t>Average energy use per km in mixed driving</t>
        </is>
      </c>
      <c r="E6" s="3" t="inlineStr">
        <is>
          <t>WLTP, ADAC Ecotest</t>
        </is>
      </c>
      <c r="F6" s="4" t="inlineStr">
        <is>
          <t>✅ Covered</t>
        </is>
      </c>
      <c r="G6" s="3" t="inlineStr">
        <is>
          <t>consumption_wh_km</t>
        </is>
      </c>
      <c r="H6" s="3" t="inlineStr"/>
    </row>
    <row r="7">
      <c r="A7" s="5" t="n">
        <v>6</v>
      </c>
      <c r="B7" s="6" t="inlineStr">
        <is>
          <t>Range &amp; Efficiency</t>
        </is>
      </c>
      <c r="C7" s="6" t="inlineStr">
        <is>
          <t>Highway Range (130 km/h)</t>
        </is>
      </c>
      <c r="D7" s="6" t="inlineStr">
        <is>
          <t>Range at constant 130 km/h (Autobahn)</t>
        </is>
      </c>
      <c r="E7" s="6" t="inlineStr">
        <is>
          <t>AMS, Autobild, ADAC</t>
        </is>
      </c>
      <c r="F7" s="7" t="inlineStr">
        <is>
          <t>❌ Missing</t>
        </is>
      </c>
      <c r="G7" s="6" t="inlineStr">
        <is>
          <t>—</t>
        </is>
      </c>
      <c r="H7" s="6" t="inlineStr">
        <is>
          <t>Critical for DACH market; could estimate from consumption</t>
        </is>
      </c>
    </row>
    <row r="8">
      <c r="A8" s="2" t="n">
        <v>7</v>
      </c>
      <c r="B8" s="3" t="inlineStr">
        <is>
          <t>Range &amp; Efficiency</t>
        </is>
      </c>
      <c r="C8" s="3" t="inlineStr">
        <is>
          <t>City Range</t>
        </is>
      </c>
      <c r="D8" s="3" t="inlineStr">
        <is>
          <t>Range in pure urban driving</t>
        </is>
      </c>
      <c r="E8" s="3" t="inlineStr">
        <is>
          <t>WLTP city sub-cycle</t>
        </is>
      </c>
      <c r="F8" s="7" t="inlineStr">
        <is>
          <t>❌ Missing</t>
        </is>
      </c>
      <c r="G8" s="3" t="inlineStr">
        <is>
          <t>—</t>
        </is>
      </c>
      <c r="H8" s="3" t="inlineStr">
        <is>
          <t>Could estimate: ~1.3× WLTP for city-optimized EVs</t>
        </is>
      </c>
    </row>
    <row r="9">
      <c r="A9" s="5" t="n">
        <v>8</v>
      </c>
      <c r="B9" s="6" t="inlineStr">
        <is>
          <t>Range &amp; Efficiency</t>
        </is>
      </c>
      <c r="C9" s="6" t="inlineStr">
        <is>
          <t>Range per kWh</t>
        </is>
      </c>
      <c r="D9" s="6" t="inlineStr">
        <is>
          <t>Efficiency: km driven per kWh of battery</t>
        </is>
      </c>
      <c r="E9" s="6" t="inlineStr">
        <is>
          <t>Derived metric, Edmunds</t>
        </is>
      </c>
      <c r="F9" s="8" t="inlineStr">
        <is>
          <t>🔶 Computable</t>
        </is>
      </c>
      <c r="G9" s="6" t="inlineStr">
        <is>
          <t>wltp_range_km ÷ battery_kwh</t>
        </is>
      </c>
      <c r="H9" s="6" t="inlineStr">
        <is>
          <t>Easy to compute</t>
        </is>
      </c>
    </row>
    <row r="10">
      <c r="A10" s="2" t="n">
        <v>9</v>
      </c>
      <c r="B10" s="3" t="inlineStr">
        <is>
          <t>Range &amp; Efficiency</t>
        </is>
      </c>
      <c r="C10" s="3" t="inlineStr">
        <is>
          <t>EPA Range</t>
        </is>
      </c>
      <c r="D10" s="3" t="inlineStr">
        <is>
          <t>US EPA test cycle range</t>
        </is>
      </c>
      <c r="E10" s="3" t="inlineStr">
        <is>
          <t>EPA, Consumer Reports</t>
        </is>
      </c>
      <c r="F10" s="7" t="inlineStr">
        <is>
          <t>❌ Missing</t>
        </is>
      </c>
      <c r="G10" s="3" t="inlineStr">
        <is>
          <t>—</t>
        </is>
      </c>
      <c r="H10" s="3" t="inlineStr">
        <is>
          <t>Not critical for DACH market</t>
        </is>
      </c>
    </row>
    <row r="11">
      <c r="A11" s="5" t="n">
        <v>10</v>
      </c>
      <c r="B11" s="6" t="inlineStr">
        <is>
          <t>Charging</t>
        </is>
      </c>
      <c r="C11" s="6" t="inlineStr">
        <is>
          <t>DC Fast Charge Peak (kW)</t>
        </is>
      </c>
      <c r="D11" s="6" t="inlineStr">
        <is>
          <t>Maximum DC charging power</t>
        </is>
      </c>
      <c r="E11" s="6" t="inlineStr">
        <is>
          <t>All sources</t>
        </is>
      </c>
      <c r="F11" s="4" t="inlineStr">
        <is>
          <t>✅ Covered</t>
        </is>
      </c>
      <c r="G11" s="6" t="inlineStr">
        <is>
          <t>dc_fast_charge_kw</t>
        </is>
      </c>
      <c r="H11" s="6" t="inlineStr"/>
    </row>
    <row r="12">
      <c r="A12" s="2" t="n">
        <v>11</v>
      </c>
      <c r="B12" s="3" t="inlineStr">
        <is>
          <t>Charging</t>
        </is>
      </c>
      <c r="C12" s="3" t="inlineStr">
        <is>
          <t>AC Charge Power (kW)</t>
        </is>
      </c>
      <c r="D12" s="3" t="inlineStr">
        <is>
          <t>Onboard AC charger capacity</t>
        </is>
      </c>
      <c r="E12" s="3" t="inlineStr">
        <is>
          <t>All sources</t>
        </is>
      </c>
      <c r="F12" s="4" t="inlineStr">
        <is>
          <t>✅ Covered</t>
        </is>
      </c>
      <c r="G12" s="3" t="inlineStr">
        <is>
          <t>ac_charge_kw</t>
        </is>
      </c>
      <c r="H12" s="3" t="inlineStr"/>
    </row>
    <row r="13">
      <c r="A13" s="5" t="n">
        <v>12</v>
      </c>
      <c r="B13" s="6" t="inlineStr">
        <is>
          <t>Charging</t>
        </is>
      </c>
      <c r="C13" s="6" t="inlineStr">
        <is>
          <t>10→80% Charge Time (min)</t>
        </is>
      </c>
      <c r="D13" s="6" t="inlineStr">
        <is>
          <t>Time to charge from 10% to 80% SoC</t>
        </is>
      </c>
      <c r="E13" s="6" t="inlineStr">
        <is>
          <t>P3 Charging Index, ADAC</t>
        </is>
      </c>
      <c r="F13" s="4" t="inlineStr">
        <is>
          <t>✅ Covered</t>
        </is>
      </c>
      <c r="G13" s="6" t="inlineStr">
        <is>
          <t>charge_time_10_80_min</t>
        </is>
      </c>
      <c r="H13" s="6" t="inlineStr"/>
    </row>
    <row r="14">
      <c r="A14" s="2" t="n">
        <v>13</v>
      </c>
      <c r="B14" s="3" t="inlineStr">
        <is>
          <t>Charging</t>
        </is>
      </c>
      <c r="C14" s="3" t="inlineStr">
        <is>
          <t>Platform Voltage (V)</t>
        </is>
      </c>
      <c r="D14" s="3" t="inlineStr">
        <is>
          <t>System voltage (400V vs 800V)</t>
        </is>
      </c>
      <c r="E14" s="3" t="inlineStr">
        <is>
          <t>P3, AMS</t>
        </is>
      </c>
      <c r="F14" s="4" t="inlineStr">
        <is>
          <t>✅ Covered</t>
        </is>
      </c>
      <c r="G14" s="3" t="inlineStr">
        <is>
          <t>platform_voltage</t>
        </is>
      </c>
      <c r="H14" s="3" t="inlineStr">
        <is>
          <t>800V = faster charging, less heat</t>
        </is>
      </c>
    </row>
    <row r="15">
      <c r="A15" s="5" t="n">
        <v>14</v>
      </c>
      <c r="B15" s="6" t="inlineStr">
        <is>
          <t>Charging</t>
        </is>
      </c>
      <c r="C15" s="6" t="inlineStr">
        <is>
          <t>P3 Charging Index Score</t>
        </is>
      </c>
      <c r="D15" s="6" t="inlineStr">
        <is>
          <t>Range gained in 20 min DC charging</t>
        </is>
      </c>
      <c r="E15" s="6" t="inlineStr">
        <is>
          <t>P3 Automotive</t>
        </is>
      </c>
      <c r="F15" s="8" t="inlineStr">
        <is>
          <t>🔶 Computable</t>
        </is>
      </c>
      <c r="G15" s="6" t="inlineStr">
        <is>
          <t>dc_fast_charge_kw, battery_kwh, charge_time_10_80_min</t>
        </is>
      </c>
      <c r="H15" s="6" t="inlineStr">
        <is>
          <t>Can approximate from our data</t>
        </is>
      </c>
    </row>
    <row r="16">
      <c r="A16" s="2" t="n">
        <v>15</v>
      </c>
      <c r="B16" s="3" t="inlineStr">
        <is>
          <t>Charging</t>
        </is>
      </c>
      <c r="C16" s="3" t="inlineStr">
        <is>
          <t>km Added per Minute of DC Charging</t>
        </is>
      </c>
      <c r="D16" s="3" t="inlineStr">
        <is>
          <t>Practical charging speed metric</t>
        </is>
      </c>
      <c r="E16" s="3" t="inlineStr">
        <is>
          <t>P3, Björn Nyland</t>
        </is>
      </c>
      <c r="F16" s="8" t="inlineStr">
        <is>
          <t>🔶 Computable</t>
        </is>
      </c>
      <c r="G16" s="3" t="inlineStr">
        <is>
          <t>real_range_km, charge_time_10_80_min</t>
        </is>
      </c>
      <c r="H16" s="3">
        <f> (real_range × 0.7) ÷ charge_time</f>
        <v/>
      </c>
    </row>
    <row r="17">
      <c r="A17" s="5" t="n">
        <v>16</v>
      </c>
      <c r="B17" s="6" t="inlineStr">
        <is>
          <t>Charging</t>
        </is>
      </c>
      <c r="C17" s="6" t="inlineStr">
        <is>
          <t>Charging Curve Profile</t>
        </is>
      </c>
      <c r="D17" s="6" t="inlineStr">
        <is>
          <t>Power vs. SoC graph showing tapering</t>
        </is>
      </c>
      <c r="E17" s="6" t="inlineStr">
        <is>
          <t>Fastned, P3, Björn Nyland</t>
        </is>
      </c>
      <c r="F17" s="7" t="inlineStr">
        <is>
          <t>❌ Missing</t>
        </is>
      </c>
      <c r="G17" s="6" t="inlineStr">
        <is>
          <t>—</t>
        </is>
      </c>
      <c r="H17" s="6" t="inlineStr">
        <is>
          <t>Would need time-series data</t>
        </is>
      </c>
    </row>
    <row r="18">
      <c r="A18" s="2" t="n">
        <v>17</v>
      </c>
      <c r="B18" s="3" t="inlineStr">
        <is>
          <t>Charging</t>
        </is>
      </c>
      <c r="C18" s="3" t="inlineStr">
        <is>
          <t>CCS vs. NACS Connector</t>
        </is>
      </c>
      <c r="D18" s="3" t="inlineStr">
        <is>
          <t>Plug type / standard</t>
        </is>
      </c>
      <c r="E18" s="3" t="inlineStr">
        <is>
          <t>Market-specific</t>
        </is>
      </c>
      <c r="F18" s="7" t="inlineStr">
        <is>
          <t>❌ Missing</t>
        </is>
      </c>
      <c r="G18" s="3" t="inlineStr">
        <is>
          <t>—</t>
        </is>
      </c>
      <c r="H18" s="3" t="inlineStr">
        <is>
          <t>EU = CCS2 universal; low priority</t>
        </is>
      </c>
    </row>
    <row r="19">
      <c r="A19" s="5" t="n">
        <v>18</v>
      </c>
      <c r="B19" s="6" t="inlineStr">
        <is>
          <t>Charging</t>
        </is>
      </c>
      <c r="C19" s="6" t="inlineStr">
        <is>
          <t>V2G / V2L Capability</t>
        </is>
      </c>
      <c r="D19" s="6" t="inlineStr">
        <is>
          <t>Bidirectional charging support</t>
        </is>
      </c>
      <c r="E19" s="6" t="inlineStr">
        <is>
          <t>Björn Nyland, AMS</t>
        </is>
      </c>
      <c r="F19" s="7" t="inlineStr">
        <is>
          <t>❌ Missing</t>
        </is>
      </c>
      <c r="G19" s="6" t="inlineStr">
        <is>
          <t>—</t>
        </is>
      </c>
      <c r="H19" s="6" t="inlineStr">
        <is>
          <t>Increasingly important feature</t>
        </is>
      </c>
    </row>
    <row r="20">
      <c r="A20" s="2" t="n">
        <v>19</v>
      </c>
      <c r="B20" s="3" t="inlineStr">
        <is>
          <t>Charging</t>
        </is>
      </c>
      <c r="C20" s="3" t="inlineStr">
        <is>
          <t>Preconditioning for DC Charging</t>
        </is>
      </c>
      <c r="D20" s="3" t="inlineStr">
        <is>
          <t>Battery warm-up before fast charging</t>
        </is>
      </c>
      <c r="E20" s="3" t="inlineStr">
        <is>
          <t>ADAC, P3</t>
        </is>
      </c>
      <c r="F20" s="4" t="inlineStr">
        <is>
          <t>✅ Covered</t>
        </is>
      </c>
      <c r="G20" s="3" t="inlineStr">
        <is>
          <t>has_battery_preconditioning</t>
        </is>
      </c>
      <c r="H20" s="3" t="inlineStr">
        <is>
          <t>Boolean flag</t>
        </is>
      </c>
    </row>
    <row r="21">
      <c r="A21" s="5" t="n">
        <v>20</v>
      </c>
      <c r="B21" s="6" t="inlineStr">
        <is>
          <t>Battery &amp; Longevity</t>
        </is>
      </c>
      <c r="C21" s="6" t="inlineStr">
        <is>
          <t>Battery Capacity (kWh)</t>
        </is>
      </c>
      <c r="D21" s="6" t="inlineStr">
        <is>
          <t>Usable battery energy</t>
        </is>
      </c>
      <c r="E21" s="6" t="inlineStr">
        <is>
          <t>All sources</t>
        </is>
      </c>
      <c r="F21" s="4" t="inlineStr">
        <is>
          <t>✅ Covered</t>
        </is>
      </c>
      <c r="G21" s="6" t="inlineStr">
        <is>
          <t>battery_kwh</t>
        </is>
      </c>
      <c r="H21" s="6" t="inlineStr"/>
    </row>
    <row r="22">
      <c r="A22" s="2" t="n">
        <v>21</v>
      </c>
      <c r="B22" s="3" t="inlineStr">
        <is>
          <t>Battery &amp; Longevity</t>
        </is>
      </c>
      <c r="C22" s="3" t="inlineStr">
        <is>
          <t>Battery Chemistry</t>
        </is>
      </c>
      <c r="D22" s="3" t="inlineStr">
        <is>
          <t>Cell chemistry type (LFP, NMC, NCA, etc.)</t>
        </is>
      </c>
      <c r="E22" s="3" t="inlineStr">
        <is>
          <t>AMS, Battery University</t>
        </is>
      </c>
      <c r="F22" s="4" t="inlineStr">
        <is>
          <t>✅ Covered</t>
        </is>
      </c>
      <c r="G22" s="3" t="inlineStr">
        <is>
          <t>battery_chemistry</t>
        </is>
      </c>
      <c r="H22" s="3" t="inlineStr">
        <is>
          <t>Impacts lifespan, cold performance, cost</t>
        </is>
      </c>
    </row>
    <row r="23">
      <c r="A23" s="5" t="n">
        <v>22</v>
      </c>
      <c r="B23" s="6" t="inlineStr">
        <is>
          <t>Battery &amp; Longevity</t>
        </is>
      </c>
      <c r="C23" s="6" t="inlineStr">
        <is>
          <t>Battery Warranty (Years)</t>
        </is>
      </c>
      <c r="D23" s="6" t="inlineStr">
        <is>
          <t>OEM warranty duration</t>
        </is>
      </c>
      <c r="E23" s="6" t="inlineStr">
        <is>
          <t>OEM specs</t>
        </is>
      </c>
      <c r="F23" s="4" t="inlineStr">
        <is>
          <t>✅ Covered</t>
        </is>
      </c>
      <c r="G23" s="6" t="inlineStr">
        <is>
          <t>battery_warranty_years</t>
        </is>
      </c>
      <c r="H23" s="6" t="inlineStr"/>
    </row>
    <row r="24">
      <c r="A24" s="2" t="n">
        <v>23</v>
      </c>
      <c r="B24" s="3" t="inlineStr">
        <is>
          <t>Battery &amp; Longevity</t>
        </is>
      </c>
      <c r="C24" s="3" t="inlineStr">
        <is>
          <t>Battery Warranty (km)</t>
        </is>
      </c>
      <c r="D24" s="3" t="inlineStr">
        <is>
          <t>OEM warranty distance limit</t>
        </is>
      </c>
      <c r="E24" s="3" t="inlineStr">
        <is>
          <t>OEM specs</t>
        </is>
      </c>
      <c r="F24" s="4" t="inlineStr">
        <is>
          <t>✅ Covered</t>
        </is>
      </c>
      <c r="G24" s="3" t="inlineStr">
        <is>
          <t>battery_warranty_km</t>
        </is>
      </c>
      <c r="H24" s="3" t="inlineStr"/>
    </row>
    <row r="25">
      <c r="A25" s="5" t="n">
        <v>24</v>
      </c>
      <c r="B25" s="6" t="inlineStr">
        <is>
          <t>Battery &amp; Longevity</t>
        </is>
      </c>
      <c r="C25" s="6" t="inlineStr">
        <is>
          <t>Battery Degradation Rate</t>
        </is>
      </c>
      <c r="D25" s="6" t="inlineStr">
        <is>
          <t>Annual capacity loss (%/year)</t>
        </is>
      </c>
      <c r="E25" s="6" t="inlineStr">
        <is>
          <t>Recurrent Auto, GeoTab studies</t>
        </is>
      </c>
      <c r="F25" s="7" t="inlineStr">
        <is>
          <t>❌ Missing</t>
        </is>
      </c>
      <c r="G25" s="6" t="inlineStr">
        <is>
          <t>—</t>
        </is>
      </c>
      <c r="H25" s="6" t="inlineStr">
        <is>
          <t>Would need longitudinal data</t>
        </is>
      </c>
    </row>
    <row r="26">
      <c r="A26" s="2" t="n">
        <v>25</v>
      </c>
      <c r="B26" s="3" t="inlineStr">
        <is>
          <t>Battery &amp; Longevity</t>
        </is>
      </c>
      <c r="C26" s="3" t="inlineStr">
        <is>
          <t>Thermal Management System</t>
        </is>
      </c>
      <c r="D26" s="3" t="inlineStr">
        <is>
          <t>Liquid-cooled vs. air-cooled battery</t>
        </is>
      </c>
      <c r="E26" s="3" t="inlineStr">
        <is>
          <t>AMS, engineering reviews</t>
        </is>
      </c>
      <c r="F26" s="7" t="inlineStr">
        <is>
          <t>❌ Missing</t>
        </is>
      </c>
      <c r="G26" s="3" t="inlineStr">
        <is>
          <t>—</t>
        </is>
      </c>
      <c r="H26" s="3" t="inlineStr">
        <is>
          <t>All modern EVs are liquid-cooled; low variance</t>
        </is>
      </c>
    </row>
    <row r="27">
      <c r="A27" s="5" t="n">
        <v>26</v>
      </c>
      <c r="B27" s="6" t="inlineStr">
        <is>
          <t>Battery &amp; Longevity</t>
        </is>
      </c>
      <c r="C27" s="6" t="inlineStr">
        <is>
          <t>Cell Supplier</t>
        </is>
      </c>
      <c r="D27" s="6" t="inlineStr">
        <is>
          <t>Battery cell manufacturer (CATL, LG, Samsung SDI, etc.)</t>
        </is>
      </c>
      <c r="E27" s="6" t="inlineStr">
        <is>
          <t>Industry research</t>
        </is>
      </c>
      <c r="F27" s="7" t="inlineStr">
        <is>
          <t>❌ Missing</t>
        </is>
      </c>
      <c r="G27" s="6" t="inlineStr">
        <is>
          <t>—</t>
        </is>
      </c>
      <c r="H27" s="6" t="inlineStr">
        <is>
          <t>Useful for supply chain analysis</t>
        </is>
      </c>
    </row>
    <row r="28">
      <c r="A28" s="2" t="n">
        <v>27</v>
      </c>
      <c r="B28" s="3" t="inlineStr">
        <is>
          <t>Thermal &amp; Winter</t>
        </is>
      </c>
      <c r="C28" s="3" t="inlineStr">
        <is>
          <t>Heat Pump</t>
        </is>
      </c>
      <c r="D28" s="3" t="inlineStr">
        <is>
          <t>Presence of heat pump for cabin/battery heating</t>
        </is>
      </c>
      <c r="E28" s="3" t="inlineStr">
        <is>
          <t>ADAC, AMS, all sources</t>
        </is>
      </c>
      <c r="F28" s="4" t="inlineStr">
        <is>
          <t>✅ Covered</t>
        </is>
      </c>
      <c r="G28" s="3" t="inlineStr">
        <is>
          <t>has_heat_pump</t>
        </is>
      </c>
      <c r="H28" s="3" t="inlineStr">
        <is>
          <t>Critical for DACH winter efficiency</t>
        </is>
      </c>
    </row>
    <row r="29">
      <c r="A29" s="5" t="n">
        <v>28</v>
      </c>
      <c r="B29" s="6" t="inlineStr">
        <is>
          <t>Thermal &amp; Winter</t>
        </is>
      </c>
      <c r="C29" s="6" t="inlineStr">
        <is>
          <t>Battery Preconditioning</t>
        </is>
      </c>
      <c r="D29" s="6" t="inlineStr">
        <is>
          <t>Active battery thermal management</t>
        </is>
      </c>
      <c r="E29" s="6" t="inlineStr">
        <is>
          <t>ADAC, P3</t>
        </is>
      </c>
      <c r="F29" s="4" t="inlineStr">
        <is>
          <t>✅ Covered</t>
        </is>
      </c>
      <c r="G29" s="6" t="inlineStr">
        <is>
          <t>has_battery_preconditioning</t>
        </is>
      </c>
      <c r="H29" s="6" t="inlineStr"/>
    </row>
    <row r="30">
      <c r="A30" s="2" t="n">
        <v>29</v>
      </c>
      <c r="B30" s="3" t="inlineStr">
        <is>
          <t>Thermal &amp; Winter</t>
        </is>
      </c>
      <c r="C30" s="3" t="inlineStr">
        <is>
          <t>Winter Efficiency Delta</t>
        </is>
      </c>
      <c r="D30" s="3" t="inlineStr">
        <is>
          <t>Consumption increase in winter vs. summer</t>
        </is>
      </c>
      <c r="E30" s="3" t="inlineStr">
        <is>
          <t>Norwegian El Prix, ADAC</t>
        </is>
      </c>
      <c r="F30" s="8" t="inlineStr">
        <is>
          <t>🔶 Computable</t>
        </is>
      </c>
      <c r="G30" s="3" t="inlineStr">
        <is>
          <t>winter_range_pct, consumption_wh_km</t>
        </is>
      </c>
      <c r="H30" s="3">
        <f> (1 - winter_range_pct) × 100</f>
        <v/>
      </c>
    </row>
    <row r="31">
      <c r="A31" s="5" t="n">
        <v>30</v>
      </c>
      <c r="B31" s="6" t="inlineStr">
        <is>
          <t>Thermal &amp; Winter</t>
        </is>
      </c>
      <c r="C31" s="6" t="inlineStr">
        <is>
          <t>Cold Start Charge Penalty</t>
        </is>
      </c>
      <c r="D31" s="6" t="inlineStr">
        <is>
          <t>Extra time to charge in cold conditions</t>
        </is>
      </c>
      <c r="E31" s="6" t="inlineStr">
        <is>
          <t>ADAC, real-world tests</t>
        </is>
      </c>
      <c r="F31" s="7" t="inlineStr">
        <is>
          <t>❌ Missing</t>
        </is>
      </c>
      <c r="G31" s="6" t="inlineStr">
        <is>
          <t>—</t>
        </is>
      </c>
      <c r="H31" s="6" t="inlineStr">
        <is>
          <t>Mitigated by preconditioning flag</t>
        </is>
      </c>
    </row>
    <row r="32">
      <c r="A32" s="2" t="n">
        <v>31</v>
      </c>
      <c r="B32" s="3" t="inlineStr">
        <is>
          <t>Thermal &amp; Winter</t>
        </is>
      </c>
      <c r="C32" s="3" t="inlineStr">
        <is>
          <t>Heated Steering Wheel / Seats</t>
        </is>
      </c>
      <c r="D32" s="3" t="inlineStr">
        <is>
          <t>Comfort features for efficiency in winter</t>
        </is>
      </c>
      <c r="E32" s="3" t="inlineStr">
        <is>
          <t>AMS, Autobild</t>
        </is>
      </c>
      <c r="F32" s="7" t="inlineStr">
        <is>
          <t>❌ Missing</t>
        </is>
      </c>
      <c r="G32" s="3" t="inlineStr">
        <is>
          <t>—</t>
        </is>
      </c>
      <c r="H32" s="3" t="inlineStr">
        <is>
          <t>Reduces HVAC load, improves winter range</t>
        </is>
      </c>
    </row>
    <row r="33">
      <c r="A33" s="5" t="n">
        <v>32</v>
      </c>
      <c r="B33" s="6" t="inlineStr">
        <is>
          <t>Performance</t>
        </is>
      </c>
      <c r="C33" s="6" t="inlineStr">
        <is>
          <t>Power (kW / HP)</t>
        </is>
      </c>
      <c r="D33" s="6" t="inlineStr">
        <is>
          <t>Maximum motor output</t>
        </is>
      </c>
      <c r="E33" s="6" t="inlineStr">
        <is>
          <t>All sources</t>
        </is>
      </c>
      <c r="F33" s="4" t="inlineStr">
        <is>
          <t>✅ Covered</t>
        </is>
      </c>
      <c r="G33" s="6" t="inlineStr">
        <is>
          <t>power_kw, power_hp</t>
        </is>
      </c>
      <c r="H33" s="6" t="inlineStr"/>
    </row>
    <row r="34">
      <c r="A34" s="2" t="n">
        <v>33</v>
      </c>
      <c r="B34" s="3" t="inlineStr">
        <is>
          <t>Performance</t>
        </is>
      </c>
      <c r="C34" s="3" t="inlineStr">
        <is>
          <t>Motor Configuration</t>
        </is>
      </c>
      <c r="D34" s="3" t="inlineStr">
        <is>
          <t>AWD / RWD / FWD, single/dual/tri-motor</t>
        </is>
      </c>
      <c r="E34" s="3" t="inlineStr">
        <is>
          <t>All sources</t>
        </is>
      </c>
      <c r="F34" s="4" t="inlineStr">
        <is>
          <t>✅ Covered</t>
        </is>
      </c>
      <c r="G34" s="3" t="inlineStr">
        <is>
          <t>motor_config</t>
        </is>
      </c>
      <c r="H34" s="3" t="inlineStr"/>
    </row>
    <row r="35">
      <c r="A35" s="5" t="n">
        <v>34</v>
      </c>
      <c r="B35" s="6" t="inlineStr">
        <is>
          <t>Performance</t>
        </is>
      </c>
      <c r="C35" s="6" t="inlineStr">
        <is>
          <t>0-100 km/h (seconds)</t>
        </is>
      </c>
      <c r="D35" s="6" t="inlineStr">
        <is>
          <t>Acceleration benchmark</t>
        </is>
      </c>
      <c r="E35" s="6" t="inlineStr">
        <is>
          <t>AMS, Autobild, all reviews</t>
        </is>
      </c>
      <c r="F35" s="7" t="inlineStr">
        <is>
          <t>❌ Missing</t>
        </is>
      </c>
      <c r="G35" s="6" t="inlineStr">
        <is>
          <t>—</t>
        </is>
      </c>
      <c r="H35" s="6" t="inlineStr">
        <is>
          <t>Universally tested; high demand</t>
        </is>
      </c>
    </row>
    <row r="36">
      <c r="A36" s="2" t="n">
        <v>35</v>
      </c>
      <c r="B36" s="3" t="inlineStr">
        <is>
          <t>Performance</t>
        </is>
      </c>
      <c r="C36" s="3" t="inlineStr">
        <is>
          <t>Top Speed (km/h)</t>
        </is>
      </c>
      <c r="D36" s="3" t="inlineStr">
        <is>
          <t>Maximum speed</t>
        </is>
      </c>
      <c r="E36" s="3" t="inlineStr">
        <is>
          <t>OEM specs, AMS</t>
        </is>
      </c>
      <c r="F36" s="7" t="inlineStr">
        <is>
          <t>❌ Missing</t>
        </is>
      </c>
      <c r="G36" s="3" t="inlineStr">
        <is>
          <t>—</t>
        </is>
      </c>
      <c r="H36" s="3" t="inlineStr">
        <is>
          <t>Important for Autobahn driving</t>
        </is>
      </c>
    </row>
    <row r="37">
      <c r="A37" s="5" t="n">
        <v>36</v>
      </c>
      <c r="B37" s="6" t="inlineStr">
        <is>
          <t>Performance</t>
        </is>
      </c>
      <c r="C37" s="6" t="inlineStr">
        <is>
          <t>Torque (Nm)</t>
        </is>
      </c>
      <c r="D37" s="6" t="inlineStr">
        <is>
          <t>Maximum torque output</t>
        </is>
      </c>
      <c r="E37" s="6" t="inlineStr">
        <is>
          <t>OEM specs</t>
        </is>
      </c>
      <c r="F37" s="7" t="inlineStr">
        <is>
          <t>❌ Missing</t>
        </is>
      </c>
      <c r="G37" s="6" t="inlineStr">
        <is>
          <t>—</t>
        </is>
      </c>
      <c r="H37" s="6" t="inlineStr"/>
    </row>
    <row r="38">
      <c r="A38" s="2" t="n">
        <v>37</v>
      </c>
      <c r="B38" s="3" t="inlineStr">
        <is>
          <t>Performance</t>
        </is>
      </c>
      <c r="C38" s="3" t="inlineStr">
        <is>
          <t>Power-to-Weight Ratio</t>
        </is>
      </c>
      <c r="D38" s="3" t="inlineStr">
        <is>
          <t>kW per kg of vehicle weight</t>
        </is>
      </c>
      <c r="E38" s="3" t="inlineStr">
        <is>
          <t>Derived metric</t>
        </is>
      </c>
      <c r="F38" s="8" t="inlineStr">
        <is>
          <t>🔶 Computable</t>
        </is>
      </c>
      <c r="G38" s="3" t="inlineStr">
        <is>
          <t>power_kw (need curb_weight)</t>
        </is>
      </c>
      <c r="H38" s="3" t="inlineStr">
        <is>
          <t>Need vehicle weight to compute</t>
        </is>
      </c>
    </row>
    <row r="39">
      <c r="A39" s="5" t="n">
        <v>38</v>
      </c>
      <c r="B39" s="6" t="inlineStr">
        <is>
          <t>Performance</t>
        </is>
      </c>
      <c r="C39" s="6" t="inlineStr">
        <is>
          <t>Curb Weight (kg)</t>
        </is>
      </c>
      <c r="D39" s="6" t="inlineStr">
        <is>
          <t>Vehicle kerb weight</t>
        </is>
      </c>
      <c r="E39" s="6" t="inlineStr">
        <is>
          <t>OEM specs, all reviews</t>
        </is>
      </c>
      <c r="F39" s="7" t="inlineStr">
        <is>
          <t>❌ Missing</t>
        </is>
      </c>
      <c r="G39" s="6" t="inlineStr">
        <is>
          <t>—</t>
        </is>
      </c>
      <c r="H39" s="6" t="inlineStr">
        <is>
          <t>Impacts efficiency, handling, tire wear</t>
        </is>
      </c>
    </row>
    <row r="40">
      <c r="A40" s="2" t="n">
        <v>39</v>
      </c>
      <c r="B40" s="3" t="inlineStr">
        <is>
          <t>Performance</t>
        </is>
      </c>
      <c r="C40" s="3" t="inlineStr">
        <is>
          <t>Towing Capacity (kg)</t>
        </is>
      </c>
      <c r="D40" s="3" t="inlineStr">
        <is>
          <t>Maximum trailer weight</t>
        </is>
      </c>
      <c r="E40" s="3" t="inlineStr">
        <is>
          <t>ADAC, AMS</t>
        </is>
      </c>
      <c r="F40" s="7" t="inlineStr">
        <is>
          <t>❌ Missing</t>
        </is>
      </c>
      <c r="G40" s="3" t="inlineStr">
        <is>
          <t>—</t>
        </is>
      </c>
      <c r="H40" s="3" t="inlineStr">
        <is>
          <t>Important for lifestyle users</t>
        </is>
      </c>
    </row>
    <row r="41">
      <c r="A41" s="5" t="n">
        <v>40</v>
      </c>
      <c r="B41" s="6" t="inlineStr">
        <is>
          <t>Dimensions &amp; Practicality</t>
        </is>
      </c>
      <c r="C41" s="6" t="inlineStr">
        <is>
          <t>Length (mm)</t>
        </is>
      </c>
      <c r="D41" s="6" t="inlineStr">
        <is>
          <t>Vehicle length</t>
        </is>
      </c>
      <c r="E41" s="6" t="inlineStr">
        <is>
          <t>OEM specs</t>
        </is>
      </c>
      <c r="F41" s="4" t="inlineStr">
        <is>
          <t>✅ Covered</t>
        </is>
      </c>
      <c r="G41" s="6" t="inlineStr">
        <is>
          <t>length_mm</t>
        </is>
      </c>
      <c r="H41" s="6" t="inlineStr"/>
    </row>
    <row r="42">
      <c r="A42" s="2" t="n">
        <v>41</v>
      </c>
      <c r="B42" s="3" t="inlineStr">
        <is>
          <t>Dimensions &amp; Practicality</t>
        </is>
      </c>
      <c r="C42" s="3" t="inlineStr">
        <is>
          <t>Width (mm)</t>
        </is>
      </c>
      <c r="D42" s="3" t="inlineStr">
        <is>
          <t>Vehicle width</t>
        </is>
      </c>
      <c r="E42" s="3" t="inlineStr">
        <is>
          <t>OEM specs</t>
        </is>
      </c>
      <c r="F42" s="4" t="inlineStr">
        <is>
          <t>✅ Covered</t>
        </is>
      </c>
      <c r="G42" s="3" t="inlineStr">
        <is>
          <t>width_mm</t>
        </is>
      </c>
      <c r="H42" s="3" t="inlineStr"/>
    </row>
    <row r="43">
      <c r="A43" s="5" t="n">
        <v>42</v>
      </c>
      <c r="B43" s="6" t="inlineStr">
        <is>
          <t>Dimensions &amp; Practicality</t>
        </is>
      </c>
      <c r="C43" s="6" t="inlineStr">
        <is>
          <t>Height (mm)</t>
        </is>
      </c>
      <c r="D43" s="6" t="inlineStr">
        <is>
          <t>Vehicle height</t>
        </is>
      </c>
      <c r="E43" s="6" t="inlineStr">
        <is>
          <t>OEM specs</t>
        </is>
      </c>
      <c r="F43" s="4" t="inlineStr">
        <is>
          <t>✅ Covered</t>
        </is>
      </c>
      <c r="G43" s="6" t="inlineStr">
        <is>
          <t>height_mm</t>
        </is>
      </c>
      <c r="H43" s="6" t="inlineStr"/>
    </row>
    <row r="44">
      <c r="A44" s="2" t="n">
        <v>43</v>
      </c>
      <c r="B44" s="3" t="inlineStr">
        <is>
          <t>Dimensions &amp; Practicality</t>
        </is>
      </c>
      <c r="C44" s="3" t="inlineStr">
        <is>
          <t>Trunk Volume (L)</t>
        </is>
      </c>
      <c r="D44" s="3" t="inlineStr">
        <is>
          <t>Boot/trunk capacity</t>
        </is>
      </c>
      <c r="E44" s="3" t="inlineStr">
        <is>
          <t>OEM specs, ADAC</t>
        </is>
      </c>
      <c r="F44" s="4" t="inlineStr">
        <is>
          <t>✅ Covered</t>
        </is>
      </c>
      <c r="G44" s="3" t="inlineStr">
        <is>
          <t>trunk_l</t>
        </is>
      </c>
      <c r="H44" s="3" t="inlineStr"/>
    </row>
    <row r="45">
      <c r="A45" s="5" t="n">
        <v>44</v>
      </c>
      <c r="B45" s="6" t="inlineStr">
        <is>
          <t>Dimensions &amp; Practicality</t>
        </is>
      </c>
      <c r="C45" s="6" t="inlineStr">
        <is>
          <t>Frunk Volume (L)</t>
        </is>
      </c>
      <c r="D45" s="6" t="inlineStr">
        <is>
          <t>Front trunk capacity</t>
        </is>
      </c>
      <c r="E45" s="6" t="inlineStr">
        <is>
          <t>OEM specs</t>
        </is>
      </c>
      <c r="F45" s="4" t="inlineStr">
        <is>
          <t>✅ Covered</t>
        </is>
      </c>
      <c r="G45" s="6" t="inlineStr">
        <is>
          <t>frunk_l</t>
        </is>
      </c>
      <c r="H45" s="6" t="inlineStr"/>
    </row>
    <row r="46">
      <c r="A46" s="2" t="n">
        <v>45</v>
      </c>
      <c r="B46" s="3" t="inlineStr">
        <is>
          <t>Dimensions &amp; Practicality</t>
        </is>
      </c>
      <c r="C46" s="3" t="inlineStr">
        <is>
          <t>Total Cargo (L)</t>
        </is>
      </c>
      <c r="D46" s="3" t="inlineStr">
        <is>
          <t>Combined cargo volume</t>
        </is>
      </c>
      <c r="E46" s="3" t="inlineStr">
        <is>
          <t>Derived</t>
        </is>
      </c>
      <c r="F46" s="4" t="inlineStr">
        <is>
          <t>✅ Covered</t>
        </is>
      </c>
      <c r="G46" s="3" t="inlineStr">
        <is>
          <t>total_cargo_l</t>
        </is>
      </c>
      <c r="H46" s="3" t="inlineStr"/>
    </row>
    <row r="47">
      <c r="A47" s="5" t="n">
        <v>46</v>
      </c>
      <c r="B47" s="6" t="inlineStr">
        <is>
          <t>Dimensions &amp; Practicality</t>
        </is>
      </c>
      <c r="C47" s="6" t="inlineStr">
        <is>
          <t>Wheelbase (mm)</t>
        </is>
      </c>
      <c r="D47" s="6" t="inlineStr">
        <is>
          <t>Distance between axles</t>
        </is>
      </c>
      <c r="E47" s="6" t="inlineStr">
        <is>
          <t>OEM specs</t>
        </is>
      </c>
      <c r="F47" s="7" t="inlineStr">
        <is>
          <t>❌ Missing</t>
        </is>
      </c>
      <c r="G47" s="6" t="inlineStr">
        <is>
          <t>—</t>
        </is>
      </c>
      <c r="H47" s="6" t="inlineStr">
        <is>
          <t>Affects ride comfort and interior space</t>
        </is>
      </c>
    </row>
    <row r="48">
      <c r="A48" s="2" t="n">
        <v>47</v>
      </c>
      <c r="B48" s="3" t="inlineStr">
        <is>
          <t>Dimensions &amp; Practicality</t>
        </is>
      </c>
      <c r="C48" s="3" t="inlineStr">
        <is>
          <t>Ground Clearance (mm)</t>
        </is>
      </c>
      <c r="D48" s="3" t="inlineStr">
        <is>
          <t>Minimum ground clearance</t>
        </is>
      </c>
      <c r="E48" s="3" t="inlineStr">
        <is>
          <t>OEM specs, off-road reviews</t>
        </is>
      </c>
      <c r="F48" s="7" t="inlineStr">
        <is>
          <t>❌ Missing</t>
        </is>
      </c>
      <c r="G48" s="3" t="inlineStr">
        <is>
          <t>—</t>
        </is>
      </c>
      <c r="H48" s="3" t="inlineStr">
        <is>
          <t>Relevant for Alpine terrain</t>
        </is>
      </c>
    </row>
    <row r="49">
      <c r="A49" s="5" t="n">
        <v>48</v>
      </c>
      <c r="B49" s="6" t="inlineStr">
        <is>
          <t>Dimensions &amp; Practicality</t>
        </is>
      </c>
      <c r="C49" s="6" t="inlineStr">
        <is>
          <t>Turning Circle (m)</t>
        </is>
      </c>
      <c r="D49" s="6" t="inlineStr">
        <is>
          <t>Minimum turning diameter</t>
        </is>
      </c>
      <c r="E49" s="6" t="inlineStr">
        <is>
          <t>ADAC, AMS</t>
        </is>
      </c>
      <c r="F49" s="7" t="inlineStr">
        <is>
          <t>❌ Missing</t>
        </is>
      </c>
      <c r="G49" s="6" t="inlineStr">
        <is>
          <t>—</t>
        </is>
      </c>
      <c r="H49" s="6" t="inlineStr">
        <is>
          <t>Important for city parking</t>
        </is>
      </c>
    </row>
    <row r="50">
      <c r="A50" s="2" t="n">
        <v>49</v>
      </c>
      <c r="B50" s="3" t="inlineStr">
        <is>
          <t>Dimensions &amp; Practicality</t>
        </is>
      </c>
      <c r="C50" s="3" t="inlineStr">
        <is>
          <t>Seating Capacity</t>
        </is>
      </c>
      <c r="D50" s="3" t="inlineStr">
        <is>
          <t>Number of seats</t>
        </is>
      </c>
      <c r="E50" s="3" t="inlineStr">
        <is>
          <t>OEM specs</t>
        </is>
      </c>
      <c r="F50" s="7" t="inlineStr">
        <is>
          <t>❌ Missing</t>
        </is>
      </c>
      <c r="G50" s="3" t="inlineStr">
        <is>
          <t>—</t>
        </is>
      </c>
      <c r="H50" s="3" t="inlineStr">
        <is>
          <t>5 vs 7 seater matters for families</t>
        </is>
      </c>
    </row>
    <row r="51">
      <c r="A51" s="5" t="n">
        <v>50</v>
      </c>
      <c r="B51" s="6" t="inlineStr">
        <is>
          <t>Dimensions &amp; Practicality</t>
        </is>
      </c>
      <c r="C51" s="6" t="inlineStr">
        <is>
          <t>Roof Load (kg)</t>
        </is>
      </c>
      <c r="D51" s="6" t="inlineStr">
        <is>
          <t>Maximum roof rack weight</t>
        </is>
      </c>
      <c r="E51" s="6" t="inlineStr">
        <is>
          <t>OEM specs</t>
        </is>
      </c>
      <c r="F51" s="7" t="inlineStr">
        <is>
          <t>❌ Missing</t>
        </is>
      </c>
      <c r="G51" s="6" t="inlineStr">
        <is>
          <t>—</t>
        </is>
      </c>
      <c r="H51" s="6" t="inlineStr">
        <is>
          <t>For ski/bike racks</t>
        </is>
      </c>
    </row>
    <row r="52">
      <c r="A52" s="2" t="n">
        <v>51</v>
      </c>
      <c r="B52" s="3" t="inlineStr">
        <is>
          <t>Safety</t>
        </is>
      </c>
      <c r="C52" s="3" t="inlineStr">
        <is>
          <t>Euro NCAP Overall Rating</t>
        </is>
      </c>
      <c r="D52" s="3" t="inlineStr">
        <is>
          <t>Star rating (0-5)</t>
        </is>
      </c>
      <c r="E52" s="3" t="inlineStr">
        <is>
          <t>Euro NCAP</t>
        </is>
      </c>
      <c r="F52" s="7" t="inlineStr">
        <is>
          <t>❌ Missing</t>
        </is>
      </c>
      <c r="G52" s="3" t="inlineStr">
        <is>
          <t>—</t>
        </is>
      </c>
      <c r="H52" s="3" t="inlineStr">
        <is>
          <t>Very high priority; trusted benchmark</t>
        </is>
      </c>
    </row>
    <row r="53">
      <c r="A53" s="5" t="n">
        <v>52</v>
      </c>
      <c r="B53" s="6" t="inlineStr">
        <is>
          <t>Safety</t>
        </is>
      </c>
      <c r="C53" s="6" t="inlineStr">
        <is>
          <t>Euro NCAP Adult Occupant %</t>
        </is>
      </c>
      <c r="D53" s="6" t="inlineStr">
        <is>
          <t>Adult protection score</t>
        </is>
      </c>
      <c r="E53" s="6" t="inlineStr">
        <is>
          <t>Euro NCAP</t>
        </is>
      </c>
      <c r="F53" s="7" t="inlineStr">
        <is>
          <t>❌ Missing</t>
        </is>
      </c>
      <c r="G53" s="6" t="inlineStr">
        <is>
          <t>—</t>
        </is>
      </c>
      <c r="H53" s="6" t="inlineStr"/>
    </row>
    <row r="54">
      <c r="A54" s="2" t="n">
        <v>53</v>
      </c>
      <c r="B54" s="3" t="inlineStr">
        <is>
          <t>Safety</t>
        </is>
      </c>
      <c r="C54" s="3" t="inlineStr">
        <is>
          <t>Euro NCAP Child Occupant %</t>
        </is>
      </c>
      <c r="D54" s="3" t="inlineStr">
        <is>
          <t>Child protection score</t>
        </is>
      </c>
      <c r="E54" s="3" t="inlineStr">
        <is>
          <t>Euro NCAP</t>
        </is>
      </c>
      <c r="F54" s="7" t="inlineStr">
        <is>
          <t>❌ Missing</t>
        </is>
      </c>
      <c r="G54" s="3" t="inlineStr">
        <is>
          <t>—</t>
        </is>
      </c>
      <c r="H54" s="3" t="inlineStr"/>
    </row>
    <row r="55">
      <c r="A55" s="5" t="n">
        <v>54</v>
      </c>
      <c r="B55" s="6" t="inlineStr">
        <is>
          <t>Safety</t>
        </is>
      </c>
      <c r="C55" s="6" t="inlineStr">
        <is>
          <t>Euro NCAP Pedestrian %</t>
        </is>
      </c>
      <c r="D55" s="6" t="inlineStr">
        <is>
          <t>Vulnerable road user score</t>
        </is>
      </c>
      <c r="E55" s="6" t="inlineStr">
        <is>
          <t>Euro NCAP</t>
        </is>
      </c>
      <c r="F55" s="7" t="inlineStr">
        <is>
          <t>❌ Missing</t>
        </is>
      </c>
      <c r="G55" s="6" t="inlineStr">
        <is>
          <t>—</t>
        </is>
      </c>
      <c r="H55" s="6" t="inlineStr"/>
    </row>
    <row r="56">
      <c r="A56" s="2" t="n">
        <v>55</v>
      </c>
      <c r="B56" s="3" t="inlineStr">
        <is>
          <t>Safety</t>
        </is>
      </c>
      <c r="C56" s="3" t="inlineStr">
        <is>
          <t>Euro NCAP Safety Assist %</t>
        </is>
      </c>
      <c r="D56" s="3" t="inlineStr">
        <is>
          <t>Active safety systems score</t>
        </is>
      </c>
      <c r="E56" s="3" t="inlineStr">
        <is>
          <t>Euro NCAP</t>
        </is>
      </c>
      <c r="F56" s="7" t="inlineStr">
        <is>
          <t>❌ Missing</t>
        </is>
      </c>
      <c r="G56" s="3" t="inlineStr">
        <is>
          <t>—</t>
        </is>
      </c>
      <c r="H56" s="3" t="inlineStr"/>
    </row>
    <row r="57">
      <c r="A57" s="5" t="n">
        <v>56</v>
      </c>
      <c r="B57" s="6" t="inlineStr">
        <is>
          <t>Safety</t>
        </is>
      </c>
      <c r="C57" s="6" t="inlineStr">
        <is>
          <t>ADAS Level</t>
        </is>
      </c>
      <c r="D57" s="6" t="inlineStr">
        <is>
          <t>Level of driver assistance (L2, L2+, etc.)</t>
        </is>
      </c>
      <c r="E57" s="6" t="inlineStr">
        <is>
          <t>OEM, reviews</t>
        </is>
      </c>
      <c r="F57" s="7" t="inlineStr">
        <is>
          <t>❌ Missing</t>
        </is>
      </c>
      <c r="G57" s="6" t="inlineStr">
        <is>
          <t>—</t>
        </is>
      </c>
      <c r="H57" s="6" t="inlineStr">
        <is>
          <t>Increasingly differentiating</t>
        </is>
      </c>
    </row>
    <row r="58">
      <c r="A58" s="2" t="n">
        <v>57</v>
      </c>
      <c r="B58" s="3" t="inlineStr">
        <is>
          <t>Economics</t>
        </is>
      </c>
      <c r="C58" s="3" t="inlineStr">
        <is>
          <t>Base Price (EUR)</t>
        </is>
      </c>
      <c r="D58" s="3" t="inlineStr">
        <is>
          <t>Starting MSRP</t>
        </is>
      </c>
      <c r="E58" s="3" t="inlineStr">
        <is>
          <t>OEM / market</t>
        </is>
      </c>
      <c r="F58" s="4" t="inlineStr">
        <is>
          <t>✅ Covered</t>
        </is>
      </c>
      <c r="G58" s="3" t="inlineStr">
        <is>
          <t>price_eur</t>
        </is>
      </c>
      <c r="H58" s="3" t="inlineStr"/>
    </row>
    <row r="59">
      <c r="A59" s="5" t="n">
        <v>58</v>
      </c>
      <c r="B59" s="6" t="inlineStr">
        <is>
          <t>Economics</t>
        </is>
      </c>
      <c r="C59" s="6" t="inlineStr">
        <is>
          <t>Cost per km (EUR)</t>
        </is>
      </c>
      <c r="D59" s="6" t="inlineStr">
        <is>
          <t>Running cost metric</t>
        </is>
      </c>
      <c r="E59" s="6" t="inlineStr">
        <is>
          <t>Derived, ADAC</t>
        </is>
      </c>
      <c r="F59" s="4" t="inlineStr">
        <is>
          <t>✅ Covered</t>
        </is>
      </c>
      <c r="G59" s="6" t="inlineStr">
        <is>
          <t>km_per_eur</t>
        </is>
      </c>
      <c r="H59" s="6" t="inlineStr">
        <is>
          <t>Inverted: EUR per km = 1/km_per_eur</t>
        </is>
      </c>
    </row>
    <row r="60">
      <c r="A60" s="2" t="n">
        <v>59</v>
      </c>
      <c r="B60" s="3" t="inlineStr">
        <is>
          <t>Economics</t>
        </is>
      </c>
      <c r="C60" s="3" t="inlineStr">
        <is>
          <t>CO₂ Production (tonnes)</t>
        </is>
      </c>
      <c r="D60" s="3" t="inlineStr">
        <is>
          <t>Manufacturing carbon footprint</t>
        </is>
      </c>
      <c r="E60" s="3" t="inlineStr">
        <is>
          <t>Green NCAP, LCA studies</t>
        </is>
      </c>
      <c r="F60" s="4" t="inlineStr">
        <is>
          <t>✅ Covered</t>
        </is>
      </c>
      <c r="G60" s="3" t="inlineStr">
        <is>
          <t>co2_production_t</t>
        </is>
      </c>
      <c r="H60" s="3" t="inlineStr"/>
    </row>
    <row r="61">
      <c r="A61" s="5" t="n">
        <v>60</v>
      </c>
      <c r="B61" s="6" t="inlineStr">
        <is>
          <t>Economics</t>
        </is>
      </c>
      <c r="C61" s="6" t="inlineStr">
        <is>
          <t>CO₂ Lifetime (tonnes)</t>
        </is>
      </c>
      <c r="D61" s="6" t="inlineStr">
        <is>
          <t>Total lifecycle emissions</t>
        </is>
      </c>
      <c r="E61" s="6" t="inlineStr">
        <is>
          <t>Green NCAP</t>
        </is>
      </c>
      <c r="F61" s="4" t="inlineStr">
        <is>
          <t>✅ Covered</t>
        </is>
      </c>
      <c r="G61" s="6" t="inlineStr">
        <is>
          <t>co2_lifetime_t</t>
        </is>
      </c>
      <c r="H61" s="6" t="inlineStr"/>
    </row>
    <row r="62">
      <c r="A62" s="2" t="n">
        <v>61</v>
      </c>
      <c r="B62" s="3" t="inlineStr">
        <is>
          <t>Economics</t>
        </is>
      </c>
      <c r="C62" s="3" t="inlineStr">
        <is>
          <t>Leasing Rate (EUR/mo)</t>
        </is>
      </c>
      <c r="D62" s="3" t="inlineStr">
        <is>
          <t>Monthly lease cost</t>
        </is>
      </c>
      <c r="E62" s="3" t="inlineStr">
        <is>
          <t>Market data</t>
        </is>
      </c>
      <c r="F62" s="7" t="inlineStr">
        <is>
          <t>❌ Missing</t>
        </is>
      </c>
      <c r="G62" s="3" t="inlineStr">
        <is>
          <t>—</t>
        </is>
      </c>
      <c r="H62" s="3" t="inlineStr">
        <is>
          <t>High monetization potential</t>
        </is>
      </c>
    </row>
    <row r="63">
      <c r="A63" s="5" t="n">
        <v>62</v>
      </c>
      <c r="B63" s="6" t="inlineStr">
        <is>
          <t>Economics</t>
        </is>
      </c>
      <c r="C63" s="6" t="inlineStr">
        <is>
          <t>Insurance Group</t>
        </is>
      </c>
      <c r="D63" s="6" t="inlineStr">
        <is>
          <t>Insurance classification</t>
        </is>
      </c>
      <c r="E63" s="6" t="inlineStr">
        <is>
          <t>GDV (Germany)</t>
        </is>
      </c>
      <c r="F63" s="7" t="inlineStr">
        <is>
          <t>❌ Missing</t>
        </is>
      </c>
      <c r="G63" s="6" t="inlineStr">
        <is>
          <t>—</t>
        </is>
      </c>
      <c r="H63" s="6" t="inlineStr">
        <is>
          <t>Significant cost factor</t>
        </is>
      </c>
    </row>
    <row r="64">
      <c r="A64" s="2" t="n">
        <v>63</v>
      </c>
      <c r="B64" s="3" t="inlineStr">
        <is>
          <t>Economics</t>
        </is>
      </c>
      <c r="C64" s="3" t="inlineStr">
        <is>
          <t>Government Subsidy Eligible</t>
        </is>
      </c>
      <c r="D64" s="3" t="inlineStr">
        <is>
          <t>Qualifies for Umweltbonus or similar</t>
        </is>
      </c>
      <c r="E64" s="3" t="inlineStr">
        <is>
          <t>BAFA, country-specific</t>
        </is>
      </c>
      <c r="F64" s="7" t="inlineStr">
        <is>
          <t>❌ Missing</t>
        </is>
      </c>
      <c r="G64" s="3" t="inlineStr">
        <is>
          <t>—</t>
        </is>
      </c>
      <c r="H64" s="3" t="inlineStr">
        <is>
          <t>Subsidies ended in DE but exist in AT/CH</t>
        </is>
      </c>
    </row>
    <row r="65">
      <c r="A65" s="5" t="n">
        <v>64</v>
      </c>
      <c r="B65" s="6" t="inlineStr">
        <is>
          <t>Economics</t>
        </is>
      </c>
      <c r="C65" s="6" t="inlineStr">
        <is>
          <t>Electricity Cost per 100km</t>
        </is>
      </c>
      <c r="D65" s="6" t="inlineStr">
        <is>
          <t>Energy cost at given rate</t>
        </is>
      </c>
      <c r="E65" s="6" t="inlineStr">
        <is>
          <t>Derived</t>
        </is>
      </c>
      <c r="F65" s="8" t="inlineStr">
        <is>
          <t>🔶 Computable</t>
        </is>
      </c>
      <c r="G65" s="6" t="inlineStr">
        <is>
          <t>consumption_wh_km × electricity price</t>
        </is>
      </c>
      <c r="H65" s="6" t="inlineStr">
        <is>
          <t>User-adjustable electricity price</t>
        </is>
      </c>
    </row>
    <row r="66">
      <c r="A66" s="2" t="n">
        <v>65</v>
      </c>
      <c r="B66" s="3" t="inlineStr">
        <is>
          <t>Economics</t>
        </is>
      </c>
      <c r="C66" s="3" t="inlineStr">
        <is>
          <t>5-Year TCO Estimate</t>
        </is>
      </c>
      <c r="D66" s="3" t="inlineStr">
        <is>
          <t>Total cost of ownership projection</t>
        </is>
      </c>
      <c r="E66" s="3" t="inlineStr">
        <is>
          <t>ADAC, Consumer Reports</t>
        </is>
      </c>
      <c r="F66" s="8" t="inlineStr">
        <is>
          <t>🔶 Computable</t>
        </is>
      </c>
      <c r="G66" s="3" t="inlineStr">
        <is>
          <t>price_eur, consumption_wh_km, km_per_eur</t>
        </is>
      </c>
      <c r="H66" s="3" t="inlineStr">
        <is>
          <t>Combine purchase + energy + maintenance</t>
        </is>
      </c>
    </row>
    <row r="67">
      <c r="A67" s="5" t="n">
        <v>66</v>
      </c>
      <c r="B67" s="6" t="inlineStr">
        <is>
          <t>Environmental</t>
        </is>
      </c>
      <c r="C67" s="6" t="inlineStr">
        <is>
          <t>Green NCAP Clean Air Index</t>
        </is>
      </c>
      <c r="D67" s="6" t="inlineStr">
        <is>
          <t>Tailpipe + brake/tire emissions</t>
        </is>
      </c>
      <c r="E67" s="6" t="inlineStr">
        <is>
          <t>Green NCAP</t>
        </is>
      </c>
      <c r="F67" s="7" t="inlineStr">
        <is>
          <t>❌ Missing</t>
        </is>
      </c>
      <c r="G67" s="6" t="inlineStr">
        <is>
          <t>—</t>
        </is>
      </c>
      <c r="H67" s="6" t="inlineStr">
        <is>
          <t>EVs score well but tire/brake varies</t>
        </is>
      </c>
    </row>
    <row r="68">
      <c r="A68" s="2" t="n">
        <v>67</v>
      </c>
      <c r="B68" s="3" t="inlineStr">
        <is>
          <t>Environmental</t>
        </is>
      </c>
      <c r="C68" s="3" t="inlineStr">
        <is>
          <t>Green NCAP Energy Efficiency</t>
        </is>
      </c>
      <c r="D68" s="3" t="inlineStr">
        <is>
          <t>kWh consumed per 100km real-world</t>
        </is>
      </c>
      <c r="E68" s="3" t="inlineStr">
        <is>
          <t>Green NCAP</t>
        </is>
      </c>
      <c r="F68" s="8" t="inlineStr">
        <is>
          <t>🔶 Computable</t>
        </is>
      </c>
      <c r="G68" s="3" t="inlineStr">
        <is>
          <t>consumption_wh_km</t>
        </is>
      </c>
      <c r="H68" s="3">
        <f> consumption_wh_km / 10</f>
        <v/>
      </c>
    </row>
    <row r="69">
      <c r="A69" s="5" t="n">
        <v>68</v>
      </c>
      <c r="B69" s="6" t="inlineStr">
        <is>
          <t>Environmental</t>
        </is>
      </c>
      <c r="C69" s="6" t="inlineStr">
        <is>
          <t>Lifecycle CO₂ Break-Even (km)</t>
        </is>
      </c>
      <c r="D69" s="6" t="inlineStr">
        <is>
          <t>km until CO₂ advantage over ICE</t>
        </is>
      </c>
      <c r="E69" s="6" t="inlineStr">
        <is>
          <t>LCA research</t>
        </is>
      </c>
      <c r="F69" s="8" t="inlineStr">
        <is>
          <t>🔶 Computable</t>
        </is>
      </c>
      <c r="G69" s="6" t="inlineStr">
        <is>
          <t>co2_production_t, co2_lifetime_t</t>
        </is>
      </c>
      <c r="H69" s="6" t="inlineStr">
        <is>
          <t>Compare vs. ICE benchmark</t>
        </is>
      </c>
    </row>
    <row r="70">
      <c r="A70" s="2" t="n">
        <v>69</v>
      </c>
      <c r="B70" s="3" t="inlineStr">
        <is>
          <t>Environmental</t>
        </is>
      </c>
      <c r="C70" s="3" t="inlineStr">
        <is>
          <t>Recyclability Rating</t>
        </is>
      </c>
      <c r="D70" s="3" t="inlineStr">
        <is>
          <t>Battery end-of-life / circular economy</t>
        </is>
      </c>
      <c r="E70" s="3" t="inlineStr">
        <is>
          <t>EU Battery Regulation</t>
        </is>
      </c>
      <c r="F70" s="7" t="inlineStr">
        <is>
          <t>❌ Missing</t>
        </is>
      </c>
      <c r="G70" s="3" t="inlineStr">
        <is>
          <t>—</t>
        </is>
      </c>
      <c r="H70" s="3" t="inlineStr">
        <is>
          <t>Emerging regulation requirement</t>
        </is>
      </c>
    </row>
    <row r="71">
      <c r="A71" s="5" t="n">
        <v>70</v>
      </c>
      <c r="B71" s="6" t="inlineStr">
        <is>
          <t>Infotainment &amp; Tech</t>
        </is>
      </c>
      <c r="C71" s="6" t="inlineStr">
        <is>
          <t>OTA Update Capability</t>
        </is>
      </c>
      <c r="D71" s="6" t="inlineStr">
        <is>
          <t>Over-the-air software updates</t>
        </is>
      </c>
      <c r="E71" s="6" t="inlineStr">
        <is>
          <t>Reviews, OEM</t>
        </is>
      </c>
      <c r="F71" s="7" t="inlineStr">
        <is>
          <t>❌ Missing</t>
        </is>
      </c>
      <c r="G71" s="6" t="inlineStr">
        <is>
          <t>—</t>
        </is>
      </c>
      <c r="H71" s="6" t="inlineStr">
        <is>
          <t>Differentiator for tech-savvy buyers</t>
        </is>
      </c>
    </row>
    <row r="72">
      <c r="A72" s="2" t="n">
        <v>71</v>
      </c>
      <c r="B72" s="3" t="inlineStr">
        <is>
          <t>Infotainment &amp; Tech</t>
        </is>
      </c>
      <c r="C72" s="3" t="inlineStr">
        <is>
          <t>Native Navigation w/ Charging Planner</t>
        </is>
      </c>
      <c r="D72" s="3" t="inlineStr">
        <is>
          <t>Built-in route planning with charge stops</t>
        </is>
      </c>
      <c r="E72" s="3" t="inlineStr">
        <is>
          <t>Reviews</t>
        </is>
      </c>
      <c r="F72" s="7" t="inlineStr">
        <is>
          <t>❌ Missing</t>
        </is>
      </c>
      <c r="G72" s="3" t="inlineStr">
        <is>
          <t>—</t>
        </is>
      </c>
      <c r="H72" s="3" t="inlineStr">
        <is>
          <t>Major convenience factor</t>
        </is>
      </c>
    </row>
    <row r="73">
      <c r="A73" s="5" t="n">
        <v>72</v>
      </c>
      <c r="B73" s="6" t="inlineStr">
        <is>
          <t>Infotainment &amp; Tech</t>
        </is>
      </c>
      <c r="C73" s="6" t="inlineStr">
        <is>
          <t>Apple CarPlay / Android Auto</t>
        </is>
      </c>
      <c r="D73" s="6" t="inlineStr">
        <is>
          <t>Smartphone integration</t>
        </is>
      </c>
      <c r="E73" s="6" t="inlineStr">
        <is>
          <t>Reviews</t>
        </is>
      </c>
      <c r="F73" s="7" t="inlineStr">
        <is>
          <t>❌ Missing</t>
        </is>
      </c>
      <c r="G73" s="6" t="inlineStr">
        <is>
          <t>—</t>
        </is>
      </c>
      <c r="H73" s="6" t="inlineStr">
        <is>
          <t>Deal-breaker for many buyers</t>
        </is>
      </c>
    </row>
    <row r="74">
      <c r="A74" s="2" t="n">
        <v>73</v>
      </c>
      <c r="B74" s="3" t="inlineStr">
        <is>
          <t>Infotainment &amp; Tech</t>
        </is>
      </c>
      <c r="C74" s="3" t="inlineStr">
        <is>
          <t>Screen Size (inches)</t>
        </is>
      </c>
      <c r="D74" s="3" t="inlineStr">
        <is>
          <t>Main display diagonal</t>
        </is>
      </c>
      <c r="E74" s="3" t="inlineStr">
        <is>
          <t>OEM specs</t>
        </is>
      </c>
      <c r="F74" s="7" t="inlineStr">
        <is>
          <t>❌ Missing</t>
        </is>
      </c>
      <c r="G74" s="3" t="inlineStr">
        <is>
          <t>—</t>
        </is>
      </c>
      <c r="H74" s="3" t="inlineStr"/>
    </row>
    <row r="75">
      <c r="A75" s="5" t="n">
        <v>74</v>
      </c>
      <c r="B75" s="6" t="inlineStr">
        <is>
          <t>Infotainment &amp; Tech</t>
        </is>
      </c>
      <c r="C75" s="6" t="inlineStr">
        <is>
          <t>App Ecosystem</t>
        </is>
      </c>
      <c r="D75" s="6" t="inlineStr">
        <is>
          <t>Third-party app support</t>
        </is>
      </c>
      <c r="E75" s="6" t="inlineStr">
        <is>
          <t>Reviews</t>
        </is>
      </c>
      <c r="F75" s="7" t="inlineStr">
        <is>
          <t>❌ Missing</t>
        </is>
      </c>
      <c r="G75" s="6" t="inlineStr">
        <is>
          <t>—</t>
        </is>
      </c>
      <c r="H75" s="6" t="inlineStr"/>
    </row>
    <row r="76">
      <c r="A76" s="2" t="n">
        <v>75</v>
      </c>
      <c r="B76" s="3" t="inlineStr">
        <is>
          <t>Segment &amp; Meta</t>
        </is>
      </c>
      <c r="C76" s="3" t="inlineStr">
        <is>
          <t>Vehicle Segment</t>
        </is>
      </c>
      <c r="D76" s="3" t="inlineStr">
        <is>
          <t>Size class (A-segment to E-segment, SUV, etc.)</t>
        </is>
      </c>
      <c r="E76" s="3" t="inlineStr">
        <is>
          <t>Industry standard</t>
        </is>
      </c>
      <c r="F76" s="4" t="inlineStr">
        <is>
          <t>✅ Covered</t>
        </is>
      </c>
      <c r="G76" s="3" t="inlineStr">
        <is>
          <t>segment</t>
        </is>
      </c>
      <c r="H76" s="3" t="inlineStr"/>
    </row>
    <row r="77">
      <c r="A77" s="5" t="n">
        <v>76</v>
      </c>
      <c r="B77" s="6" t="inlineStr">
        <is>
          <t>Segment &amp; Meta</t>
        </is>
      </c>
      <c r="C77" s="6" t="inlineStr">
        <is>
          <t>Brand Group</t>
        </is>
      </c>
      <c r="D77" s="6" t="inlineStr">
        <is>
          <t>Parent company / group</t>
        </is>
      </c>
      <c r="E77" s="6" t="inlineStr">
        <is>
          <t>Industry</t>
        </is>
      </c>
      <c r="F77" s="4" t="inlineStr">
        <is>
          <t>✅ Covered</t>
        </is>
      </c>
      <c r="G77" s="6" t="inlineStr">
        <is>
          <t>brand_group</t>
        </is>
      </c>
      <c r="H77" s="6" t="inlineStr"/>
    </row>
    <row r="78">
      <c r="A78" s="2" t="n">
        <v>77</v>
      </c>
      <c r="B78" s="3" t="inlineStr">
        <is>
          <t>Segment &amp; Meta</t>
        </is>
      </c>
      <c r="C78" s="3" t="inlineStr">
        <is>
          <t>Model Status</t>
        </is>
      </c>
      <c r="D78" s="3" t="inlineStr">
        <is>
          <t>Current, upcoming, discontinued</t>
        </is>
      </c>
      <c r="E78" s="3" t="inlineStr">
        <is>
          <t>Market data</t>
        </is>
      </c>
      <c r="F78" s="4" t="inlineStr">
        <is>
          <t>✅ Covered</t>
        </is>
      </c>
      <c r="G78" s="3" t="inlineStr">
        <is>
          <t>status</t>
        </is>
      </c>
      <c r="H78" s="3" t="inlineStr"/>
    </row>
  </sheetData>
  <autoFilter ref="A1:H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9" t="inlineStr">
        <is>
          <t>EV Review Criteria — Coverage Dashboard</t>
        </is>
      </c>
    </row>
    <row r="3">
      <c r="A3" s="10" t="inlineStr">
        <is>
          <t>Status</t>
        </is>
      </c>
      <c r="B3" s="10" t="inlineStr">
        <is>
          <t>Count</t>
        </is>
      </c>
      <c r="C3" s="10" t="inlineStr">
        <is>
          <t>% of Total</t>
        </is>
      </c>
      <c r="D3" s="10" t="inlineStr">
        <is>
          <t>Description</t>
        </is>
      </c>
    </row>
    <row r="4">
      <c r="A4" s="11" t="inlineStr">
        <is>
          <t>✅ Covered</t>
        </is>
      </c>
      <c r="B4" s="12" t="n">
        <v>31</v>
      </c>
      <c r="C4" s="12" t="inlineStr">
        <is>
          <t>40%</t>
        </is>
      </c>
      <c r="D4" s="12" t="inlineStr">
        <is>
          <t>Already in our database</t>
        </is>
      </c>
    </row>
    <row r="5">
      <c r="A5" s="13" t="inlineStr">
        <is>
          <t>🔶 Computable</t>
        </is>
      </c>
      <c r="B5" s="12" t="n">
        <v>9</v>
      </c>
      <c r="C5" s="12" t="inlineStr">
        <is>
          <t>12%</t>
        </is>
      </c>
      <c r="D5" s="12" t="inlineStr">
        <is>
          <t>Can be derived from existing fields</t>
        </is>
      </c>
    </row>
    <row r="6">
      <c r="A6" s="14" t="inlineStr">
        <is>
          <t>❌ Missing</t>
        </is>
      </c>
      <c r="B6" s="12" t="n">
        <v>37</v>
      </c>
      <c r="C6" s="12" t="inlineStr">
        <is>
          <t>48%</t>
        </is>
      </c>
      <c r="D6" s="12" t="inlineStr">
        <is>
          <t>Not available — needs new data sources</t>
        </is>
      </c>
    </row>
    <row r="7">
      <c r="A7" s="15" t="inlineStr">
        <is>
          <t>TOTAL</t>
        </is>
      </c>
      <c r="B7" s="15" t="n">
        <v>77</v>
      </c>
      <c r="C7" s="15" t="inlineStr">
        <is>
          <t>100%</t>
        </is>
      </c>
      <c r="D7" s="15" t="n"/>
    </row>
    <row r="9">
      <c r="A9" s="16" t="inlineStr">
        <is>
          <t>Coverage by Category</t>
        </is>
      </c>
    </row>
    <row r="10">
      <c r="A10" s="10" t="inlineStr">
        <is>
          <t>Category</t>
        </is>
      </c>
      <c r="B10" s="10" t="inlineStr">
        <is>
          <t>Covered</t>
        </is>
      </c>
      <c r="C10" s="10" t="inlineStr">
        <is>
          <t>Computable</t>
        </is>
      </c>
      <c r="D10" s="10" t="inlineStr">
        <is>
          <t>Missing</t>
        </is>
      </c>
      <c r="E10" s="10" t="inlineStr">
        <is>
          <t>Total</t>
        </is>
      </c>
      <c r="F10" s="10" t="inlineStr">
        <is>
          <t>Coverage %</t>
        </is>
      </c>
    </row>
    <row r="11">
      <c r="A11" s="12" t="inlineStr">
        <is>
          <t>Range &amp; Efficiency</t>
        </is>
      </c>
      <c r="B11" s="12" t="n">
        <v>5</v>
      </c>
      <c r="C11" s="12" t="n">
        <v>1</v>
      </c>
      <c r="D11" s="12" t="n">
        <v>3</v>
      </c>
      <c r="E11" s="12" t="n">
        <v>9</v>
      </c>
      <c r="F11" s="12" t="inlineStr">
        <is>
          <t>67%</t>
        </is>
      </c>
    </row>
    <row r="12">
      <c r="A12" s="12" t="inlineStr">
        <is>
          <t>Charging</t>
        </is>
      </c>
      <c r="B12" s="12" t="n">
        <v>5</v>
      </c>
      <c r="C12" s="12" t="n">
        <v>2</v>
      </c>
      <c r="D12" s="12" t="n">
        <v>3</v>
      </c>
      <c r="E12" s="12" t="n">
        <v>10</v>
      </c>
      <c r="F12" s="12" t="inlineStr">
        <is>
          <t>70%</t>
        </is>
      </c>
    </row>
    <row r="13">
      <c r="A13" s="12" t="inlineStr">
        <is>
          <t>Battery &amp; Longevity</t>
        </is>
      </c>
      <c r="B13" s="12" t="n">
        <v>4</v>
      </c>
      <c r="C13" s="12" t="n">
        <v>0</v>
      </c>
      <c r="D13" s="12" t="n">
        <v>3</v>
      </c>
      <c r="E13" s="12" t="n">
        <v>7</v>
      </c>
      <c r="F13" s="12" t="inlineStr">
        <is>
          <t>57%</t>
        </is>
      </c>
    </row>
    <row r="14">
      <c r="A14" s="12" t="inlineStr">
        <is>
          <t>Thermal &amp; Winter</t>
        </is>
      </c>
      <c r="B14" s="12" t="n">
        <v>2</v>
      </c>
      <c r="C14" s="12" t="n">
        <v>1</v>
      </c>
      <c r="D14" s="12" t="n">
        <v>2</v>
      </c>
      <c r="E14" s="12" t="n">
        <v>5</v>
      </c>
      <c r="F14" s="12" t="inlineStr">
        <is>
          <t>60%</t>
        </is>
      </c>
    </row>
    <row r="15">
      <c r="A15" s="12" t="inlineStr">
        <is>
          <t>Performance</t>
        </is>
      </c>
      <c r="B15" s="12" t="n">
        <v>2</v>
      </c>
      <c r="C15" s="12" t="n">
        <v>1</v>
      </c>
      <c r="D15" s="12" t="n">
        <v>5</v>
      </c>
      <c r="E15" s="12" t="n">
        <v>8</v>
      </c>
      <c r="F15" s="12" t="inlineStr">
        <is>
          <t>38%</t>
        </is>
      </c>
    </row>
    <row r="16">
      <c r="A16" s="12" t="inlineStr">
        <is>
          <t>Dimensions &amp; Practicality</t>
        </is>
      </c>
      <c r="B16" s="12" t="n">
        <v>6</v>
      </c>
      <c r="C16" s="12" t="n">
        <v>0</v>
      </c>
      <c r="D16" s="12" t="n">
        <v>5</v>
      </c>
      <c r="E16" s="12" t="n">
        <v>11</v>
      </c>
      <c r="F16" s="12" t="inlineStr">
        <is>
          <t>55%</t>
        </is>
      </c>
    </row>
    <row r="17">
      <c r="A17" s="12" t="inlineStr">
        <is>
          <t>Safety</t>
        </is>
      </c>
      <c r="B17" s="12" t="n">
        <v>0</v>
      </c>
      <c r="C17" s="12" t="n">
        <v>0</v>
      </c>
      <c r="D17" s="12" t="n">
        <v>6</v>
      </c>
      <c r="E17" s="12" t="n">
        <v>6</v>
      </c>
      <c r="F17" s="12" t="inlineStr">
        <is>
          <t>0%</t>
        </is>
      </c>
    </row>
    <row r="18">
      <c r="A18" s="12" t="inlineStr">
        <is>
          <t>Economics</t>
        </is>
      </c>
      <c r="B18" s="12" t="n">
        <v>4</v>
      </c>
      <c r="C18" s="12" t="n">
        <v>2</v>
      </c>
      <c r="D18" s="12" t="n">
        <v>3</v>
      </c>
      <c r="E18" s="12" t="n">
        <v>9</v>
      </c>
      <c r="F18" s="12" t="inlineStr">
        <is>
          <t>67%</t>
        </is>
      </c>
    </row>
    <row r="19">
      <c r="A19" s="12" t="inlineStr">
        <is>
          <t>Environmental</t>
        </is>
      </c>
      <c r="B19" s="12" t="n">
        <v>0</v>
      </c>
      <c r="C19" s="12" t="n">
        <v>2</v>
      </c>
      <c r="D19" s="12" t="n">
        <v>2</v>
      </c>
      <c r="E19" s="12" t="n">
        <v>4</v>
      </c>
      <c r="F19" s="12" t="inlineStr">
        <is>
          <t>50%</t>
        </is>
      </c>
    </row>
    <row r="20">
      <c r="A20" s="12" t="inlineStr">
        <is>
          <t>Infotainment &amp; Tech</t>
        </is>
      </c>
      <c r="B20" s="12" t="n">
        <v>0</v>
      </c>
      <c r="C20" s="12" t="n">
        <v>0</v>
      </c>
      <c r="D20" s="12" t="n">
        <v>5</v>
      </c>
      <c r="E20" s="12" t="n">
        <v>5</v>
      </c>
      <c r="F20" s="12" t="inlineStr">
        <is>
          <t>0%</t>
        </is>
      </c>
    </row>
    <row r="21">
      <c r="A21" s="12" t="inlineStr">
        <is>
          <t>Segment &amp; Meta</t>
        </is>
      </c>
      <c r="B21" s="12" t="n">
        <v>3</v>
      </c>
      <c r="C21" s="12" t="n">
        <v>0</v>
      </c>
      <c r="D21" s="12" t="n">
        <v>0</v>
      </c>
      <c r="E21" s="12" t="n">
        <v>3</v>
      </c>
      <c r="F21" s="12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52" customWidth="1" min="4" max="4"/>
    <col width="36" customWidth="1" min="5" max="5"/>
    <col width="4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Metric Name</t>
        </is>
      </c>
      <c r="C1" s="1" t="inlineStr">
        <is>
          <t>What It Measures</t>
        </is>
      </c>
      <c r="D1" s="1" t="inlineStr">
        <is>
          <t>Formula / Algorithm</t>
        </is>
      </c>
      <c r="E1" s="1" t="inlineStr">
        <is>
          <t>Input Fields</t>
        </is>
      </c>
      <c r="F1" s="1" t="inlineStr">
        <is>
          <t>User Value</t>
        </is>
      </c>
      <c r="G1" s="1" t="inlineStr">
        <is>
          <t>Priority</t>
        </is>
      </c>
    </row>
    <row r="2">
      <c r="A2" s="2" t="n">
        <v>1</v>
      </c>
      <c r="B2" s="3" t="inlineStr">
        <is>
          <t>Winter Resilience Score™</t>
        </is>
      </c>
      <c r="C2" s="3" t="inlineStr">
        <is>
          <t>Composite score for cold-weather capability (0-100)</t>
        </is>
      </c>
      <c r="D2" s="3" t="inlineStr">
        <is>
          <t>Points system:
• has_heat_pump = +25 pts
• has_battery_preconditioning = +25 pts
• winter_range_pct &gt; 80% = +25 pts (scaled)
• platform_voltage ≥ 800 = +15 pts
• battery_chemistry = LFP → +10 pts (cold-tolerant)</t>
        </is>
      </c>
      <c r="E2" s="3" t="inlineStr">
        <is>
          <t>has_heat_pump, has_battery_preconditioning, winter_range_pct, platform_voltage, battery_chemistry</t>
        </is>
      </c>
      <c r="F2" s="3" t="inlineStr">
        <is>
          <t>THE killer feature for DACH. Unique differentiator vs. all other EV sites. 'Which EV survives an Austrian winter?'</t>
        </is>
      </c>
      <c r="G2" s="17" t="inlineStr">
        <is>
          <t>★★★</t>
        </is>
      </c>
    </row>
    <row r="3">
      <c r="A3" s="2" t="n">
        <v>2</v>
      </c>
      <c r="B3" s="3" t="inlineStr">
        <is>
          <t>Autobahn Fitness Index</t>
        </is>
      </c>
      <c r="C3" s="3" t="inlineStr">
        <is>
          <t>How well-suited the car is for sustained high-speed driving</t>
        </is>
      </c>
      <c r="D3" s="3" t="inlineStr">
        <is>
          <t>Weighted score:
• dc_fast_charge_kw / battery_kwh ratio (fast refueling)
• real_range_km ≥ 400 bonus
• consumption_wh_km penalty if &gt; 200
• platform_voltage 800V bonus
• has_battery_preconditioning bonus</t>
        </is>
      </c>
      <c r="E3" s="3" t="inlineStr">
        <is>
          <t>dc_fast_charge_kw, battery_kwh, real_range_km, consumption_wh_km, platform_voltage, has_battery_preconditioning</t>
        </is>
      </c>
      <c r="F3" s="3" t="inlineStr">
        <is>
          <t>'Can I drive Munich→Hamburg without stress?' Answers the #1 DACH buyer anxiety.</t>
        </is>
      </c>
      <c r="G3" s="17" t="inlineStr">
        <is>
          <t>★★★</t>
        </is>
      </c>
    </row>
    <row r="4">
      <c r="A4" s="2" t="n">
        <v>3</v>
      </c>
      <c r="B4" s="3" t="inlineStr">
        <is>
          <t>Coffee Break Charge™ (km/min)</t>
        </is>
      </c>
      <c r="C4" s="3" t="inlineStr">
        <is>
          <t>Real-world km of range gained per minute of DC charging (10→80%)</t>
        </is>
      </c>
      <c r="D4" s="3">
        <f> (real_range_km × 0.70) / charge_time_10_80_min
Example: 400km range, 25min charge → 11.2 km/min</f>
        <v/>
      </c>
      <c r="E4" s="3" t="inlineStr">
        <is>
          <t>real_range_km, charge_time_10_80_min</t>
        </is>
      </c>
      <c r="F4" s="3" t="inlineStr">
        <is>
          <t>Intuitive metric anyone can understand. 'In 15 minutes you gain 168 km.' Much better than peak kW.</t>
        </is>
      </c>
      <c r="G4" s="17" t="inlineStr">
        <is>
          <t>★★★</t>
        </is>
      </c>
    </row>
    <row r="5">
      <c r="A5" s="2" t="n">
        <v>4</v>
      </c>
      <c r="B5" s="3" t="inlineStr">
        <is>
          <t>P3-Style Charging Index (approx)</t>
        </is>
      </c>
      <c r="C5" s="3" t="inlineStr">
        <is>
          <t>Estimated range added during 20-min DC fast charge session</t>
        </is>
      </c>
      <c r="D5" s="3">
        <f> (dc_fast_charge_kw × 0.33) / (consumption_wh_km / 1000)
Approximates P3's methodology using avg power over 20 min ≈ peak × 0.6-0.7</f>
        <v/>
      </c>
      <c r="E5" s="3" t="inlineStr">
        <is>
          <t>dc_fast_charge_kw, consumption_wh_km</t>
        </is>
      </c>
      <c r="F5" s="3" t="inlineStr">
        <is>
          <t>Replicates the industry-standard P3 benchmark. Huge credibility boost.</t>
        </is>
      </c>
      <c r="G5" s="8" t="inlineStr">
        <is>
          <t>★★☆</t>
        </is>
      </c>
    </row>
    <row r="6">
      <c r="A6" s="2" t="n">
        <v>5</v>
      </c>
      <c r="B6" s="3" t="inlineStr">
        <is>
          <t>Total Cost per km (5yr TCO)</t>
        </is>
      </c>
      <c r="C6" s="3" t="inlineStr">
        <is>
          <t>Projected cost per km over 5 years / 75,000 km</t>
        </is>
      </c>
      <c r="D6" s="3">
        <f> (price_eur + (consumption_wh_km × 75000 / 1000 × electricity_price) + maintenance) / 75000
Default: €0.35/kWh electricity, €500/yr maintenance</f>
        <v/>
      </c>
      <c r="E6" s="3" t="inlineStr">
        <is>
          <t>price_eur, consumption_wh_km</t>
        </is>
      </c>
      <c r="F6" s="3" t="inlineStr">
        <is>
          <t>Answers 'Can I actually afford this EV?' with a single number. User-adjustable inputs.</t>
        </is>
      </c>
      <c r="G6" s="17" t="inlineStr">
        <is>
          <t>★★★</t>
        </is>
      </c>
    </row>
    <row r="7">
      <c r="A7" s="2" t="n">
        <v>6</v>
      </c>
      <c r="B7" s="3" t="inlineStr">
        <is>
          <t>Space Efficiency Ratio</t>
        </is>
      </c>
      <c r="C7" s="3" t="inlineStr">
        <is>
          <t>How much usable cargo volume per unit of exterior footprint</t>
        </is>
      </c>
      <c r="D7" s="3">
        <f> total_cargo_l / (length_mm × width_mm / 1,000,000)
Result in liters per m² of footprint</f>
        <v/>
      </c>
      <c r="E7" s="3" t="inlineStr">
        <is>
          <t>total_cargo_l, length_mm, width_mm</t>
        </is>
      </c>
      <c r="F7" s="3" t="inlineStr">
        <is>
          <t>'Big inside, small outside.' Perfect for city dwellers who need cargo but hate parking.</t>
        </is>
      </c>
      <c r="G7" s="8" t="inlineStr">
        <is>
          <t>★★☆</t>
        </is>
      </c>
    </row>
    <row r="8">
      <c r="A8" s="2" t="n">
        <v>7</v>
      </c>
      <c r="B8" s="3" t="inlineStr">
        <is>
          <t>Battery Value Index (kWh/€)</t>
        </is>
      </c>
      <c r="C8" s="3" t="inlineStr">
        <is>
          <t>How much battery capacity you get per euro spent</t>
        </is>
      </c>
      <c r="D8" s="3">
        <f> battery_kwh / price_eur × 1000
Result: Wh per EUR</f>
        <v/>
      </c>
      <c r="E8" s="3" t="inlineStr">
        <is>
          <t>battery_kwh, price_eur</t>
        </is>
      </c>
      <c r="F8" s="3" t="inlineStr">
        <is>
          <t>Value-for-money metric. Identifies the best deals on raw energy storage.</t>
        </is>
      </c>
      <c r="G8" s="8" t="inlineStr">
        <is>
          <t>★★☆</t>
        </is>
      </c>
    </row>
    <row r="9">
      <c r="A9" s="2" t="n">
        <v>8</v>
      </c>
      <c r="B9" s="3" t="inlineStr">
        <is>
          <t>Range Confidence Score</t>
        </is>
      </c>
      <c r="C9" s="3" t="inlineStr">
        <is>
          <t>Likelihood your planned trip fits without range anxiety</t>
        </is>
      </c>
      <c r="D9" s="3" t="inlineStr">
        <is>
          <t>User inputs trip distance. Score = real_range_km / trip_distance.
• &gt; 1.5 = '✅ No worries'
• 1.2-1.5 = '⚡ Comfortable with one stop'
• &lt; 1.2 = '⚠️ Plan charging carefully'
Winter mode: uses winter_range_km instead</t>
        </is>
      </c>
      <c r="E9" s="3" t="inlineStr">
        <is>
          <t>real_range_km, winter_range_km</t>
        </is>
      </c>
      <c r="F9" s="3" t="inlineStr">
        <is>
          <t>Interactive tool. 'Enter your commute distance.' Turns abstract range into personal confidence.</t>
        </is>
      </c>
      <c r="G9" s="17" t="inlineStr">
        <is>
          <t>★★★</t>
        </is>
      </c>
    </row>
    <row r="10">
      <c r="A10" s="2" t="n">
        <v>9</v>
      </c>
      <c r="B10" s="3" t="inlineStr">
        <is>
          <t>CO₂ Payback Period (km)</t>
        </is>
      </c>
      <c r="C10" s="3" t="inlineStr">
        <is>
          <t>How many km until EV's lower emissions offset manufacturing CO₂</t>
        </is>
      </c>
      <c r="D10" s="3">
        <f> co2_production_t / ((ICE_co2_per_km - EV_co2_per_km) / 1,000,000)
Default ICE benchmark: 150g CO₂/km</f>
        <v/>
      </c>
      <c r="E10" s="3" t="inlineStr">
        <is>
          <t>co2_production_t, co2_lifetime_t, consumption_wh_km</t>
        </is>
      </c>
      <c r="F10" s="3" t="inlineStr">
        <is>
          <t>For eco-conscious buyers. 'Your EV becomes cleaner than a diesel after 35,000 km.'</t>
        </is>
      </c>
      <c r="G10" s="8" t="inlineStr">
        <is>
          <t>★★☆</t>
        </is>
      </c>
    </row>
    <row r="11">
      <c r="A11" s="2" t="n">
        <v>10</v>
      </c>
      <c r="B11" s="3" t="inlineStr">
        <is>
          <t>Warranty Strength Score</t>
        </is>
      </c>
      <c r="C11" s="3" t="inlineStr">
        <is>
          <t>Combined battery warranty generosity rating</t>
        </is>
      </c>
      <c r="D11" s="3">
        <f> normalize(battery_warranty_years, 5-10) × 0.5 + normalize(battery_warranty_km, 100k-250k) × 0.5
Scale 0-100</f>
        <v/>
      </c>
      <c r="E11" s="3" t="inlineStr">
        <is>
          <t>battery_warranty_years, battery_warranty_km</t>
        </is>
      </c>
      <c r="F11" s="3" t="inlineStr">
        <is>
          <t>Peace of mind metric. Especially relevant for used EV buyers.</t>
        </is>
      </c>
      <c r="G11" s="18" t="inlineStr">
        <is>
          <t>★☆☆</t>
        </is>
      </c>
    </row>
    <row r="12">
      <c r="A12" s="2" t="n">
        <v>11</v>
      </c>
      <c r="B12" s="3" t="inlineStr">
        <is>
          <t>Family Readiness Score</t>
        </is>
      </c>
      <c r="C12" s="3" t="inlineStr">
        <is>
          <t>How practical the car is for family use</t>
        </is>
      </c>
      <c r="D12" s="3" t="inlineStr">
        <is>
          <t>Points system:
• total_cargo_l &gt; 500 = +30
• frunk_l &gt; 30 = +10
• length_mm &gt; 4500 = +20
• height_mm &gt; 1600 = +15 (SUV/van)
• segment = SUV/Van = +15
• price_eur &lt; 50000 = +10</t>
        </is>
      </c>
      <c r="E12" s="3" t="inlineStr">
        <is>
          <t>total_cargo_l, frunk_l, length_mm, height_mm, segment, price_eur</t>
        </is>
      </c>
      <c r="F12" s="3" t="inlineStr">
        <is>
          <t>'Is this car practical for a family of 4?' Combines size, cargo, and value.</t>
        </is>
      </c>
      <c r="G12" s="8" t="inlineStr">
        <is>
          <t>★★☆</t>
        </is>
      </c>
    </row>
    <row r="13">
      <c r="A13" s="2" t="n">
        <v>12</v>
      </c>
      <c r="B13" s="3" t="inlineStr">
        <is>
          <t>Alpine Adventure Index</t>
        </is>
      </c>
      <c r="C13" s="3" t="inlineStr">
        <is>
          <t>Suitability for mountain/winter lifestyle in Alps</t>
        </is>
      </c>
      <c r="D13" s="3" t="inlineStr">
        <is>
          <t>Combined score of:
• Winter Resilience Score (weighted 40%)
• motor_config = AWD → +20 pts
• total_cargo_l &gt; 400 → +15 pts (ski gear)
• consumption_wh_km efficiency in elevation changes
• frunk bonus for wet gear storage</t>
        </is>
      </c>
      <c r="E13" s="3" t="inlineStr">
        <is>
          <t>All winter fields + motor_config, total_cargo_l, frunk_l</t>
        </is>
      </c>
      <c r="F13" s="3" t="inlineStr">
        <is>
          <t>ULTIMATE DACH differentiator. No other EV site has this. 'Which EV takes you skiing?'</t>
        </is>
      </c>
      <c r="G13" s="17" t="inlineStr">
        <is>
          <t>★★★</t>
        </is>
      </c>
    </row>
    <row r="14">
      <c r="A14" s="2" t="n">
        <v>13</v>
      </c>
      <c r="B14" s="3" t="inlineStr">
        <is>
          <t>Efficiency Class (A++ to D)</t>
        </is>
      </c>
      <c r="C14" s="3" t="inlineStr">
        <is>
          <t>Energy label-style rating for consumption efficiency</t>
        </is>
      </c>
      <c r="D14" s="3" t="inlineStr">
        <is>
          <t>Segmented by vehicle class:
• A++ = top 10% efficiency in segment
• A+ = top 25%
• A = above median
• B = below median
• C = bottom 25%
• D = bottom 10%</t>
        </is>
      </c>
      <c r="E14" s="3" t="inlineStr">
        <is>
          <t>consumption_wh_km, segment</t>
        </is>
      </c>
      <c r="F14" s="3" t="inlineStr">
        <is>
          <t>Familiar EU energy label format. Instantly understandable. Enables cross-segment fairness.</t>
        </is>
      </c>
      <c r="G14" s="8" t="inlineStr">
        <is>
          <t>★★☆</t>
        </is>
      </c>
    </row>
    <row r="15">
      <c r="A15" s="2" t="n">
        <v>14</v>
      </c>
      <c r="B15" s="3" t="inlineStr">
        <is>
          <t>Road Trip Score</t>
        </is>
      </c>
      <c r="C15" s="3" t="inlineStr">
        <is>
          <t>End-to-end long-distance travel capability</t>
        </is>
      </c>
      <c r="D15" s="3">
        <f> f(real_range_km, coffee_break_charge_rate, dc_fast_charge_kw, has_battery_preconditioning)
Simulates a 600km trip: total time = driving + charging stops</f>
        <v/>
      </c>
      <c r="E15" s="3" t="inlineStr">
        <is>
          <t>real_range_km, charge_time_10_80_min, dc_fast_charge_kw, consumption_wh_km</t>
        </is>
      </c>
      <c r="F15" s="3" t="inlineStr">
        <is>
          <t>'How long does Munich→Berlin actually take?' Simulates real road trips with charge stops.</t>
        </is>
      </c>
      <c r="G15" s="17" t="inlineStr">
        <is>
          <t>★★★</t>
        </is>
      </c>
    </row>
    <row r="16">
      <c r="A16" s="2" t="n">
        <v>15</v>
      </c>
      <c r="B16" s="3" t="inlineStr">
        <is>
          <t>Price-to-Range Ratio (€/km)</t>
        </is>
      </c>
      <c r="C16" s="3" t="inlineStr">
        <is>
          <t>Cost of each km of real-world range</t>
        </is>
      </c>
      <c r="D16" s="3">
        <f> price_eur / real_range_km
Lower = better value</f>
        <v/>
      </c>
      <c r="E16" s="3" t="inlineStr">
        <is>
          <t>price_eur, real_range_km</t>
        </is>
      </c>
      <c r="F16" s="3" t="inlineStr">
        <is>
          <t>Simple value metric. 'You're paying €95 per km of range' vs '€142 per km.'</t>
        </is>
      </c>
      <c r="G16" s="18" t="inlineStr">
        <is>
          <t>★☆☆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4155"/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s="19" t="inlineStr">
        <is>
          <t>id</t>
        </is>
      </c>
      <c r="B2" s="3" t="inlineStr">
        <is>
          <t>uuid</t>
        </is>
      </c>
      <c r="C2" s="3" t="inlineStr">
        <is>
          <t>Primary key</t>
        </is>
      </c>
    </row>
    <row r="3">
      <c r="A3" s="19" t="inlineStr">
        <is>
          <t>brand</t>
        </is>
      </c>
      <c r="B3" s="3" t="inlineStr">
        <is>
          <t>text</t>
        </is>
      </c>
      <c r="C3" s="3" t="inlineStr">
        <is>
          <t>Manufacturer name</t>
        </is>
      </c>
    </row>
    <row r="4">
      <c r="A4" s="19" t="inlineStr">
        <is>
          <t>model</t>
        </is>
      </c>
      <c r="B4" s="3" t="inlineStr">
        <is>
          <t>text</t>
        </is>
      </c>
      <c r="C4" s="3" t="inlineStr">
        <is>
          <t>Model name</t>
        </is>
      </c>
    </row>
    <row r="5">
      <c r="A5" s="19" t="inlineStr">
        <is>
          <t>variant_trim</t>
        </is>
      </c>
      <c r="B5" s="3" t="inlineStr">
        <is>
          <t>text</t>
        </is>
      </c>
      <c r="C5" s="3" t="inlineStr">
        <is>
          <t>Specific variant/trim level</t>
        </is>
      </c>
    </row>
    <row r="6">
      <c r="A6" s="19" t="inlineStr">
        <is>
          <t>brand_group</t>
        </is>
      </c>
      <c r="B6" s="3" t="inlineStr">
        <is>
          <t>text</t>
        </is>
      </c>
      <c r="C6" s="3" t="inlineStr">
        <is>
          <t>Parent company (e.g., Volkswagen Group)</t>
        </is>
      </c>
    </row>
    <row r="7">
      <c r="A7" s="19" t="inlineStr">
        <is>
          <t>slug</t>
        </is>
      </c>
      <c r="B7" s="3" t="inlineStr">
        <is>
          <t>text</t>
        </is>
      </c>
      <c r="C7" s="3" t="inlineStr">
        <is>
          <t>URL-friendly identifier</t>
        </is>
      </c>
    </row>
    <row r="8">
      <c r="A8" s="19" t="inlineStr">
        <is>
          <t>segment</t>
        </is>
      </c>
      <c r="B8" s="3" t="inlineStr">
        <is>
          <t>text</t>
        </is>
      </c>
      <c r="C8" s="3" t="inlineStr">
        <is>
          <t>Vehicle segment (SUV, Sedan, Hatchback, etc.)</t>
        </is>
      </c>
    </row>
    <row r="9">
      <c r="A9" s="19" t="inlineStr">
        <is>
          <t>status</t>
        </is>
      </c>
      <c r="B9" s="3" t="inlineStr">
        <is>
          <t>text</t>
        </is>
      </c>
      <c r="C9" s="3" t="inlineStr">
        <is>
          <t>Current, Upcoming, Discontinued</t>
        </is>
      </c>
    </row>
    <row r="10">
      <c r="A10" s="19" t="inlineStr">
        <is>
          <t>notes</t>
        </is>
      </c>
      <c r="B10" s="3" t="inlineStr">
        <is>
          <t>text</t>
        </is>
      </c>
      <c r="C10" s="3" t="inlineStr">
        <is>
          <t>Free-text notes</t>
        </is>
      </c>
    </row>
    <row r="11">
      <c r="A11" s="19" t="inlineStr">
        <is>
          <t>power_kw</t>
        </is>
      </c>
      <c r="B11" s="3" t="inlineStr">
        <is>
          <t>numeric</t>
        </is>
      </c>
      <c r="C11" s="3" t="inlineStr">
        <is>
          <t>Motor power in kilowatts</t>
        </is>
      </c>
    </row>
    <row r="12">
      <c r="A12" s="19" t="inlineStr">
        <is>
          <t>power_hp</t>
        </is>
      </c>
      <c r="B12" s="3" t="inlineStr">
        <is>
          <t>numeric</t>
        </is>
      </c>
      <c r="C12" s="3" t="inlineStr">
        <is>
          <t>Motor power in horsepower</t>
        </is>
      </c>
    </row>
    <row r="13">
      <c r="A13" s="19" t="inlineStr">
        <is>
          <t>motor_config</t>
        </is>
      </c>
      <c r="B13" s="3" t="inlineStr">
        <is>
          <t>text</t>
        </is>
      </c>
      <c r="C13" s="3" t="inlineStr">
        <is>
          <t>AWD/RWD/FWD, single/dual motor</t>
        </is>
      </c>
    </row>
    <row r="14">
      <c r="A14" s="19" t="inlineStr">
        <is>
          <t>battery_kwh</t>
        </is>
      </c>
      <c r="B14" s="3" t="inlineStr">
        <is>
          <t>numeric</t>
        </is>
      </c>
      <c r="C14" s="3" t="inlineStr">
        <is>
          <t>Usable battery capacity</t>
        </is>
      </c>
    </row>
    <row r="15">
      <c r="A15" s="19" t="inlineStr">
        <is>
          <t>battery_chemistry</t>
        </is>
      </c>
      <c r="B15" s="3" t="inlineStr">
        <is>
          <t>text</t>
        </is>
      </c>
      <c r="C15" s="3" t="inlineStr">
        <is>
          <t>LFP, NMC, NCA, etc.</t>
        </is>
      </c>
    </row>
    <row r="16">
      <c r="A16" s="19" t="inlineStr">
        <is>
          <t>battery_warranty_years</t>
        </is>
      </c>
      <c r="B16" s="3" t="inlineStr">
        <is>
          <t>integer</t>
        </is>
      </c>
      <c r="C16" s="3" t="inlineStr">
        <is>
          <t>Warranty duration</t>
        </is>
      </c>
    </row>
    <row r="17">
      <c r="A17" s="19" t="inlineStr">
        <is>
          <t>battery_warranty_km</t>
        </is>
      </c>
      <c r="B17" s="3" t="inlineStr">
        <is>
          <t>integer</t>
        </is>
      </c>
      <c r="C17" s="3" t="inlineStr">
        <is>
          <t>Warranty distance limit</t>
        </is>
      </c>
    </row>
    <row r="18">
      <c r="A18" s="19" t="inlineStr">
        <is>
          <t>wltp_range_km</t>
        </is>
      </c>
      <c r="B18" s="3" t="inlineStr">
        <is>
          <t>numeric</t>
        </is>
      </c>
      <c r="C18" s="3" t="inlineStr">
        <is>
          <t>Official WLTP range</t>
        </is>
      </c>
    </row>
    <row r="19">
      <c r="A19" s="19" t="inlineStr">
        <is>
          <t>real_range_km</t>
        </is>
      </c>
      <c r="B19" s="3" t="inlineStr">
        <is>
          <t>numeric</t>
        </is>
      </c>
      <c r="C19" s="3" t="inlineStr">
        <is>
          <t>Adjusted real-world range</t>
        </is>
      </c>
    </row>
    <row r="20">
      <c r="A20" s="19" t="inlineStr">
        <is>
          <t>consumption_wh_km</t>
        </is>
      </c>
      <c r="B20" s="3" t="inlineStr">
        <is>
          <t>numeric</t>
        </is>
      </c>
      <c r="C20" s="3" t="inlineStr">
        <is>
          <t>Energy consumption Wh/km</t>
        </is>
      </c>
    </row>
    <row r="21">
      <c r="A21" s="19" t="inlineStr">
        <is>
          <t>winter_range_km</t>
        </is>
      </c>
      <c r="B21" s="3" t="inlineStr">
        <is>
          <t>numeric</t>
        </is>
      </c>
      <c r="C21" s="3" t="inlineStr">
        <is>
          <t>Range at ~0°C</t>
        </is>
      </c>
    </row>
    <row r="22">
      <c r="A22" s="19" t="inlineStr">
        <is>
          <t>winter_range_pct</t>
        </is>
      </c>
      <c r="B22" s="3" t="inlineStr">
        <is>
          <t>numeric</t>
        </is>
      </c>
      <c r="C22" s="3" t="inlineStr">
        <is>
          <t>Winter range as % of WLTP</t>
        </is>
      </c>
    </row>
    <row r="23">
      <c r="A23" s="19" t="inlineStr">
        <is>
          <t>dc_fast_charge_kw</t>
        </is>
      </c>
      <c r="B23" s="3" t="inlineStr">
        <is>
          <t>numeric</t>
        </is>
      </c>
      <c r="C23" s="3" t="inlineStr">
        <is>
          <t>Peak DC charging power</t>
        </is>
      </c>
    </row>
    <row r="24">
      <c r="A24" s="19" t="inlineStr">
        <is>
          <t>ac_charge_kw</t>
        </is>
      </c>
      <c r="B24" s="3" t="inlineStr">
        <is>
          <t>numeric</t>
        </is>
      </c>
      <c r="C24" s="3" t="inlineStr">
        <is>
          <t>AC onboard charger power</t>
        </is>
      </c>
    </row>
    <row r="25">
      <c r="A25" s="19" t="inlineStr">
        <is>
          <t>charge_time_10_80_min</t>
        </is>
      </c>
      <c r="B25" s="3" t="inlineStr">
        <is>
          <t>numeric</t>
        </is>
      </c>
      <c r="C25" s="3" t="inlineStr">
        <is>
          <t>10-80% DC charge time</t>
        </is>
      </c>
    </row>
    <row r="26">
      <c r="A26" s="19" t="inlineStr">
        <is>
          <t>platform_voltage</t>
        </is>
      </c>
      <c r="B26" s="3" t="inlineStr">
        <is>
          <t>integer</t>
        </is>
      </c>
      <c r="C26" s="3" t="inlineStr">
        <is>
          <t>400V or 800V system</t>
        </is>
      </c>
    </row>
    <row r="27">
      <c r="A27" s="19" t="inlineStr">
        <is>
          <t>has_heat_pump</t>
        </is>
      </c>
      <c r="B27" s="3" t="inlineStr">
        <is>
          <t>boolean</t>
        </is>
      </c>
      <c r="C27" s="3" t="inlineStr">
        <is>
          <t>Heat pump present</t>
        </is>
      </c>
    </row>
    <row r="28">
      <c r="A28" s="19" t="inlineStr">
        <is>
          <t>has_battery_preconditioning</t>
        </is>
      </c>
      <c r="B28" s="3" t="inlineStr">
        <is>
          <t>boolean</t>
        </is>
      </c>
      <c r="C28" s="3" t="inlineStr">
        <is>
          <t>Battery preconditioning</t>
        </is>
      </c>
    </row>
    <row r="29">
      <c r="A29" s="19" t="inlineStr">
        <is>
          <t>length_mm</t>
        </is>
      </c>
      <c r="B29" s="3" t="inlineStr">
        <is>
          <t>integer</t>
        </is>
      </c>
      <c r="C29" s="3" t="inlineStr">
        <is>
          <t>Vehicle length</t>
        </is>
      </c>
    </row>
    <row r="30">
      <c r="A30" s="19" t="inlineStr">
        <is>
          <t>width_mm</t>
        </is>
      </c>
      <c r="B30" s="3" t="inlineStr">
        <is>
          <t>integer</t>
        </is>
      </c>
      <c r="C30" s="3" t="inlineStr">
        <is>
          <t>Vehicle width</t>
        </is>
      </c>
    </row>
    <row r="31">
      <c r="A31" s="19" t="inlineStr">
        <is>
          <t>height_mm</t>
        </is>
      </c>
      <c r="B31" s="3" t="inlineStr">
        <is>
          <t>integer</t>
        </is>
      </c>
      <c r="C31" s="3" t="inlineStr">
        <is>
          <t>Vehicle height</t>
        </is>
      </c>
    </row>
    <row r="32">
      <c r="A32" s="19" t="inlineStr">
        <is>
          <t>trunk_l</t>
        </is>
      </c>
      <c r="B32" s="3" t="inlineStr">
        <is>
          <t>integer</t>
        </is>
      </c>
      <c r="C32" s="3" t="inlineStr">
        <is>
          <t>Trunk/boot volume in liters</t>
        </is>
      </c>
    </row>
    <row r="33">
      <c r="A33" s="19" t="inlineStr">
        <is>
          <t>frunk_l</t>
        </is>
      </c>
      <c r="B33" s="3" t="inlineStr">
        <is>
          <t>integer</t>
        </is>
      </c>
      <c r="C33" s="3" t="inlineStr">
        <is>
          <t>Front trunk volume</t>
        </is>
      </c>
    </row>
    <row r="34">
      <c r="A34" s="19" t="inlineStr">
        <is>
          <t>total_cargo_l</t>
        </is>
      </c>
      <c r="B34" s="3" t="inlineStr">
        <is>
          <t>integer</t>
        </is>
      </c>
      <c r="C34" s="3" t="inlineStr">
        <is>
          <t>Total cargo capacity</t>
        </is>
      </c>
    </row>
    <row r="35">
      <c r="A35" s="19" t="inlineStr">
        <is>
          <t>price_eur</t>
        </is>
      </c>
      <c r="B35" s="3" t="inlineStr">
        <is>
          <t>numeric</t>
        </is>
      </c>
      <c r="C35" s="3" t="inlineStr">
        <is>
          <t>Base price in EUR</t>
        </is>
      </c>
    </row>
    <row r="36">
      <c r="A36" s="19" t="inlineStr">
        <is>
          <t>km_per_eur</t>
        </is>
      </c>
      <c r="B36" s="3" t="inlineStr">
        <is>
          <t>numeric</t>
        </is>
      </c>
      <c r="C36" s="3" t="inlineStr">
        <is>
          <t>Kilometers per euro (efficiency)</t>
        </is>
      </c>
    </row>
    <row r="37">
      <c r="A37" s="19" t="inlineStr">
        <is>
          <t>co2_production_t</t>
        </is>
      </c>
      <c r="B37" s="3" t="inlineStr">
        <is>
          <t>numeric</t>
        </is>
      </c>
      <c r="C37" s="3" t="inlineStr">
        <is>
          <t>Manufacturing CO₂ in tonnes</t>
        </is>
      </c>
    </row>
    <row r="38">
      <c r="A38" s="19" t="inlineStr">
        <is>
          <t>co2_lifetime_t</t>
        </is>
      </c>
      <c r="B38" s="3" t="inlineStr">
        <is>
          <t>numeric</t>
        </is>
      </c>
      <c r="C38" s="3" t="inlineStr">
        <is>
          <t>Lifetime CO₂ in tonnes</t>
        </is>
      </c>
    </row>
    <row r="39">
      <c r="A39" s="19" t="inlineStr">
        <is>
          <t>image_url</t>
        </is>
      </c>
      <c r="B39" s="3" t="inlineStr">
        <is>
          <t>text</t>
        </is>
      </c>
      <c r="C39" s="3" t="inlineStr">
        <is>
          <t>Direct image URL override (nullable)</t>
        </is>
      </c>
    </row>
    <row r="40">
      <c r="A40" s="19" t="inlineStr">
        <is>
          <t>created_at</t>
        </is>
      </c>
      <c r="B40" s="3" t="inlineStr">
        <is>
          <t>timestamp</t>
        </is>
      </c>
      <c r="C40" s="3" t="inlineStr">
        <is>
          <t>Record creation date</t>
        </is>
      </c>
    </row>
    <row r="41">
      <c r="A41" s="19" t="inlineStr">
        <is>
          <t>updated_at</t>
        </is>
      </c>
      <c r="B41" s="3" t="inlineStr">
        <is>
          <t>timestamp</t>
        </is>
      </c>
      <c r="C41" s="3" t="inlineStr">
        <is>
          <t>Last update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22" customWidth="1" min="4" max="4"/>
    <col width="40" customWidth="1" min="5" max="5"/>
  </cols>
  <sheetData>
    <row r="1">
      <c r="A1" s="9" t="inlineStr">
        <is>
          <t>Data Expansion Roadmap — What to Add Next</t>
        </is>
      </c>
    </row>
    <row r="2">
      <c r="A2" s="1" t="inlineStr">
        <is>
          <t>Priority</t>
        </is>
      </c>
      <c r="B2" s="1" t="inlineStr">
        <is>
          <t>Data Field</t>
        </is>
      </c>
      <c r="C2" s="1" t="inlineStr">
        <is>
          <t>Source</t>
        </is>
      </c>
      <c r="D2" s="1" t="inlineStr">
        <is>
          <t>Effort</t>
        </is>
      </c>
      <c r="E2" s="1" t="inlineStr">
        <is>
          <t>Impact</t>
        </is>
      </c>
    </row>
    <row r="3">
      <c r="A3" s="20" t="inlineStr">
        <is>
          <t>P0 — Now</t>
        </is>
      </c>
      <c r="B3" s="3" t="inlineStr">
        <is>
          <t>0-100 km/h acceleration</t>
        </is>
      </c>
      <c r="C3" s="3" t="inlineStr">
        <is>
          <t>OEM specs, ev-database.org</t>
        </is>
      </c>
      <c r="D3" s="3" t="inlineStr">
        <is>
          <t>Low (scrape)</t>
        </is>
      </c>
      <c r="E3" s="3" t="inlineStr">
        <is>
          <t>Very High — universally expected</t>
        </is>
      </c>
    </row>
    <row r="4">
      <c r="A4" s="20" t="inlineStr">
        <is>
          <t>P0 — Now</t>
        </is>
      </c>
      <c r="B4" s="3" t="inlineStr">
        <is>
          <t>Top speed (km/h)</t>
        </is>
      </c>
      <c r="C4" s="3" t="inlineStr">
        <is>
          <t>OEM specs, ev-database.org</t>
        </is>
      </c>
      <c r="D4" s="3" t="inlineStr">
        <is>
          <t>Low (scrape)</t>
        </is>
      </c>
      <c r="E4" s="3" t="inlineStr">
        <is>
          <t>High — Autobahn relevance</t>
        </is>
      </c>
    </row>
    <row r="5">
      <c r="A5" s="20" t="inlineStr">
        <is>
          <t>P0 — Now</t>
        </is>
      </c>
      <c r="B5" s="3" t="inlineStr">
        <is>
          <t>Curb weight (kg)</t>
        </is>
      </c>
      <c r="C5" s="3" t="inlineStr">
        <is>
          <t>OEM specs</t>
        </is>
      </c>
      <c r="D5" s="3" t="inlineStr">
        <is>
          <t>Low (scrape)</t>
        </is>
      </c>
      <c r="E5" s="3" t="inlineStr">
        <is>
          <t>High — enables power:weight ratio</t>
        </is>
      </c>
    </row>
    <row r="6">
      <c r="A6" s="20" t="inlineStr">
        <is>
          <t>P0 — Now</t>
        </is>
      </c>
      <c r="B6" s="3" t="inlineStr">
        <is>
          <t>Euro NCAP star rating</t>
        </is>
      </c>
      <c r="C6" s="3" t="inlineStr">
        <is>
          <t>euroncap.com API</t>
        </is>
      </c>
      <c r="D6" s="3" t="inlineStr">
        <is>
          <t>Low (scrape)</t>
        </is>
      </c>
      <c r="E6" s="3" t="inlineStr">
        <is>
          <t>Very High — trusted safety benchmark</t>
        </is>
      </c>
    </row>
    <row r="7">
      <c r="A7" s="8" t="inlineStr">
        <is>
          <t>P1 — Soon</t>
        </is>
      </c>
      <c r="B7" s="3" t="inlineStr">
        <is>
          <t>Towing capacity</t>
        </is>
      </c>
      <c r="C7" s="3" t="inlineStr">
        <is>
          <t>OEM specs</t>
        </is>
      </c>
      <c r="D7" s="3" t="inlineStr">
        <is>
          <t>Low</t>
        </is>
      </c>
      <c r="E7" s="3" t="inlineStr">
        <is>
          <t>Medium — niche but passionate audience</t>
        </is>
      </c>
    </row>
    <row r="8">
      <c r="A8" s="8" t="inlineStr">
        <is>
          <t>P1 — Soon</t>
        </is>
      </c>
      <c r="B8" s="3" t="inlineStr">
        <is>
          <t>Wheelbase (mm)</t>
        </is>
      </c>
      <c r="C8" s="3" t="inlineStr">
        <is>
          <t>OEM specs</t>
        </is>
      </c>
      <c r="D8" s="3" t="inlineStr">
        <is>
          <t>Low</t>
        </is>
      </c>
      <c r="E8" s="3" t="inlineStr">
        <is>
          <t>Medium — interior space indicator</t>
        </is>
      </c>
    </row>
    <row r="9">
      <c r="A9" s="8" t="inlineStr">
        <is>
          <t>P1 — Soon</t>
        </is>
      </c>
      <c r="B9" s="3" t="inlineStr">
        <is>
          <t>V2G / V2L capability</t>
        </is>
      </c>
      <c r="C9" s="3" t="inlineStr">
        <is>
          <t>OEM specs + reviews</t>
        </is>
      </c>
      <c r="D9" s="3" t="inlineStr">
        <is>
          <t>Low</t>
        </is>
      </c>
      <c r="E9" s="3" t="inlineStr">
        <is>
          <t>Growing — future-proofing</t>
        </is>
      </c>
    </row>
    <row r="10">
      <c r="A10" s="8" t="inlineStr">
        <is>
          <t>P1 — Soon</t>
        </is>
      </c>
      <c r="B10" s="3" t="inlineStr">
        <is>
          <t>Seating capacity</t>
        </is>
      </c>
      <c r="C10" s="3" t="inlineStr">
        <is>
          <t>OEM specs</t>
        </is>
      </c>
      <c r="D10" s="3" t="inlineStr">
        <is>
          <t>Low</t>
        </is>
      </c>
      <c r="E10" s="3" t="inlineStr">
        <is>
          <t>Medium — family segment</t>
        </is>
      </c>
    </row>
    <row r="11">
      <c r="A11" s="21" t="inlineStr">
        <is>
          <t>P2 — Later</t>
        </is>
      </c>
      <c r="B11" s="3" t="inlineStr">
        <is>
          <t>Leasing rates</t>
        </is>
      </c>
      <c r="C11" s="3" t="inlineStr">
        <is>
          <t>Partnerships / market data</t>
        </is>
      </c>
      <c r="D11" s="3" t="inlineStr">
        <is>
          <t>High</t>
        </is>
      </c>
      <c r="E11" s="3" t="inlineStr">
        <is>
          <t>Very High — monetization</t>
        </is>
      </c>
    </row>
    <row r="12">
      <c r="A12" s="21" t="inlineStr">
        <is>
          <t>P2 — Later</t>
        </is>
      </c>
      <c r="B12" s="3" t="inlineStr">
        <is>
          <t>Insurance group</t>
        </is>
      </c>
      <c r="C12" s="3" t="inlineStr">
        <is>
          <t>GDV / insurance APIs</t>
        </is>
      </c>
      <c r="D12" s="3" t="inlineStr">
        <is>
          <t>Medium</t>
        </is>
      </c>
      <c r="E12" s="3" t="inlineStr">
        <is>
          <t>Medium — cost of ownership</t>
        </is>
      </c>
    </row>
    <row r="13">
      <c r="A13" s="21" t="inlineStr">
        <is>
          <t>P2 — Later</t>
        </is>
      </c>
      <c r="B13" s="3" t="inlineStr">
        <is>
          <t>ADAS level / features</t>
        </is>
      </c>
      <c r="C13" s="3" t="inlineStr">
        <is>
          <t>OEM + review aggregation</t>
        </is>
      </c>
      <c r="D13" s="3" t="inlineStr">
        <is>
          <t>Medium</t>
        </is>
      </c>
      <c r="E13" s="3" t="inlineStr">
        <is>
          <t>Growing</t>
        </is>
      </c>
    </row>
    <row r="14">
      <c r="A14" s="18" t="inlineStr">
        <is>
          <t>P3 — Wishlist</t>
        </is>
      </c>
      <c r="B14" s="3" t="inlineStr">
        <is>
          <t>Charging curve data</t>
        </is>
      </c>
      <c r="C14" s="3" t="inlineStr">
        <is>
          <t>Fastned / P3 / community</t>
        </is>
      </c>
      <c r="D14" s="3" t="inlineStr">
        <is>
          <t>Very High</t>
        </is>
      </c>
      <c r="E14" s="3" t="inlineStr">
        <is>
          <t>High — enthusiast audience</t>
        </is>
      </c>
    </row>
    <row r="15">
      <c r="A15" s="18" t="inlineStr">
        <is>
          <t>P3 — Wishlist</t>
        </is>
      </c>
      <c r="B15" s="3" t="inlineStr">
        <is>
          <t>Battery degradation data</t>
        </is>
      </c>
      <c r="C15" s="3" t="inlineStr">
        <is>
          <t>Recurrent Auto / GeoTab</t>
        </is>
      </c>
      <c r="D15" s="3" t="inlineStr">
        <is>
          <t>Very High</t>
        </is>
      </c>
      <c r="E15" s="3" t="inlineStr">
        <is>
          <t>High — used car buyers</t>
        </is>
      </c>
    </row>
    <row r="16">
      <c r="A16" s="18" t="inlineStr">
        <is>
          <t>P3 — Wishlist</t>
        </is>
      </c>
      <c r="B16" s="3" t="inlineStr">
        <is>
          <t>Real-world winter test data</t>
        </is>
      </c>
      <c r="C16" s="3" t="inlineStr">
        <is>
          <t>Norwegian El Prix / ADAC</t>
        </is>
      </c>
      <c r="D16" s="3" t="inlineStr">
        <is>
          <t>High</t>
        </is>
      </c>
      <c r="E16" s="3" t="inlineStr">
        <is>
          <t>Medium — we already have estimates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2026-02-14T08:52:21Z</dcterms:created>
  <dcterms:modified xmlns:dcterms="http://purl.org/dc/terms/" xmlns:xsi="http://www.w3.org/2001/XMLSchema-instance" xsi:type="dcterms:W3CDTF">2026-02-14T08:52:21Z</dcterms:modified>
</cp:coreProperties>
</file>